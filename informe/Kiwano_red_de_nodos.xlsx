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os" sheetId="1" state="visible" r:id="rId1"/>
    <sheet xmlns:r="http://schemas.openxmlformats.org/officeDocument/2006/relationships" name="Distancias" sheetId="2" state="visible" r:id="rId2"/>
    <sheet xmlns:r="http://schemas.openxmlformats.org/officeDocument/2006/relationships" name="Ruta y ventanas" sheetId="3" state="visible" r:id="rId3"/>
    <sheet xmlns:r="http://schemas.openxmlformats.org/officeDocument/2006/relationships" name="Costos" sheetId="4" state="visible" r:id="rId4"/>
    <sheet xmlns:r="http://schemas.openxmlformats.org/officeDocument/2006/relationships" name="Precios y prompt" sheetId="5" state="visible" r:id="rId5"/>
    <sheet xmlns:r="http://schemas.openxmlformats.org/officeDocument/2006/relationships" name="P-medianas" sheetId="6" state="visible" r:id="rId6"/>
    <sheet xmlns:r="http://schemas.openxmlformats.org/officeDocument/2006/relationships" name="Transpor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"/>
  </numFmts>
  <fonts count="5">
    <font>
      <name val="Calibri"/>
      <family val="2"/>
      <color theme="1"/>
      <sz val="11"/>
      <scheme val="minor"/>
    </font>
    <font>
      <b val="1"/>
      <color rgb="001B4D3E"/>
      <sz val="14"/>
    </font>
    <font>
      <b val="1"/>
      <color rgb="00FFFFFF"/>
    </font>
    <font>
      <b val="1"/>
      <color rgb="001B4D3E"/>
    </font>
    <font>
      <b val="1"/>
    </font>
  </fonts>
  <fills count="7">
    <fill>
      <patternFill/>
    </fill>
    <fill>
      <patternFill patternType="gray125"/>
    </fill>
    <fill>
      <patternFill patternType="solid">
        <fgColor rgb="001B4D3E"/>
      </patternFill>
    </fill>
    <fill>
      <patternFill patternType="solid">
        <fgColor rgb="009dbf85"/>
      </patternFill>
    </fill>
    <fill>
      <patternFill patternType="solid">
        <fgColor rgb="00D6E8DF"/>
      </patternFill>
    </fill>
    <fill>
      <patternFill patternType="solid">
        <fgColor rgb="00E9DFD2"/>
      </patternFill>
    </fill>
    <fill>
      <patternFill patternType="solid">
        <fgColor rgb="00E4E4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3" fillId="0" borderId="0" pivotButton="0" quotePrefix="0" xfId="0"/>
    <xf numFmtId="0" fontId="2" fillId="2" borderId="0" pivotButton="0" quotePrefix="0" xfId="0"/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165" fontId="0" fillId="0" borderId="1" pivotButton="0" quotePrefix="0" xfId="0"/>
    <xf numFmtId="165" fontId="4" fillId="0" borderId="0" pivotButton="0" quotePrefix="0" xfId="0"/>
    <xf numFmtId="165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26" customWidth="1" min="4" max="4"/>
    <col width="32" customWidth="1" min="5" max="5"/>
    <col width="16" customWidth="1" min="6" max="6"/>
    <col width="10" customWidth="1" min="7" max="7"/>
    <col width="10" customWidth="1" min="8" max="8"/>
    <col width="7" customWidth="1" min="9" max="9"/>
    <col width="7" customWidth="1" min="10" max="10"/>
    <col width="10" customWidth="1" min="11" max="11"/>
    <col width="44" customWidth="1" min="12" max="12"/>
    <col width="40" customWidth="1" min="13" max="13"/>
  </cols>
  <sheetData>
    <row r="1">
      <c r="A1" s="1" t="inlineStr">
        <is>
          <t>Kiwano: base de datos de nodos (Bogotá)</t>
        </is>
      </c>
    </row>
    <row r="2">
      <c r="A2" t="inlineStr">
        <is>
          <t>N00 es la sede de Kiwano. Coordenadas aproximadas por dirección; horario marcado como estimado cuando no es público.</t>
        </is>
      </c>
    </row>
    <row r="4">
      <c r="A4" s="2" t="inlineStr">
        <is>
          <t>ID</t>
        </is>
      </c>
      <c r="B4" s="2" t="inlineStr">
        <is>
          <t>Empresa</t>
        </is>
      </c>
      <c r="C4" s="2" t="inlineStr">
        <is>
          <t>Tipo</t>
        </is>
      </c>
      <c r="D4" s="2" t="inlineStr">
        <is>
          <t>Sector / servicio</t>
        </is>
      </c>
      <c r="E4" s="2" t="inlineStr">
        <is>
          <t>Dirección</t>
        </is>
      </c>
      <c r="F4" s="2" t="inlineStr">
        <is>
          <t>Localidad</t>
        </is>
      </c>
      <c r="G4" s="2" t="inlineStr">
        <is>
          <t>Latitud</t>
        </is>
      </c>
      <c r="H4" s="2" t="inlineStr">
        <is>
          <t>Longitud</t>
        </is>
      </c>
      <c r="I4" s="2" t="inlineStr">
        <is>
          <t>Abre</t>
        </is>
      </c>
      <c r="J4" s="2" t="inlineStr">
        <is>
          <t>Cierra</t>
        </is>
      </c>
      <c r="K4" s="2" t="inlineStr">
        <is>
          <t>Horario estimado</t>
        </is>
      </c>
      <c r="L4" s="2" t="inlineStr">
        <is>
          <t>Relevancia para Kiwano</t>
        </is>
      </c>
      <c r="M4" s="2" t="inlineStr">
        <is>
          <t>Fuente</t>
        </is>
      </c>
    </row>
    <row r="5">
      <c r="A5" s="3" t="inlineStr">
        <is>
          <t>N00</t>
        </is>
      </c>
      <c r="B5" s="4" t="inlineStr">
        <is>
          <t>Kiwano (sede)</t>
        </is>
      </c>
      <c r="C5" s="5" t="inlineStr">
        <is>
          <t>Sede</t>
        </is>
      </c>
      <c r="D5" s="4" t="inlineStr">
        <is>
          <t>Sede comercial y técnica en coworking</t>
        </is>
      </c>
      <c r="E5" s="4" t="inlineStr">
        <is>
          <t>Calle 93 # 19-55 (WeWork)</t>
        </is>
      </c>
      <c r="F5" s="3" t="inlineStr">
        <is>
          <t>Chapinero – Parque 93</t>
        </is>
      </c>
      <c r="G5" s="3" t="n">
        <v>4.6785</v>
      </c>
      <c r="H5" s="3" t="n">
        <v>-74.05549999999999</v>
      </c>
      <c r="I5" s="3" t="inlineStr">
        <is>
          <t>08:00</t>
        </is>
      </c>
      <c r="J5" s="3" t="inlineStr">
        <is>
          <t>17:30</t>
        </is>
      </c>
      <c r="K5" s="3" t="inlineStr">
        <is>
          <t>No</t>
        </is>
      </c>
      <c r="L5" s="4" t="inlineStr">
        <is>
          <t>Punto de salida de la ruta comercial.</t>
        </is>
      </c>
      <c r="M5" s="3" t="inlineStr">
        <is>
          <t>https://www.wework.com/es-LA/buildings/calle-93-19-55--bogota</t>
        </is>
      </c>
    </row>
    <row r="6">
      <c r="A6" s="3" t="inlineStr">
        <is>
          <t>N01</t>
        </is>
      </c>
      <c r="B6" s="4" t="inlineStr">
        <is>
          <t>Transportes Sarvi</t>
        </is>
      </c>
      <c r="C6" s="6" t="inlineStr">
        <is>
          <t>Cliente</t>
        </is>
      </c>
      <c r="D6" s="4" t="inlineStr">
        <is>
          <t>Transporte de carga seca, líquida y extradimensionada</t>
        </is>
      </c>
      <c r="E6" s="4" t="inlineStr">
        <is>
          <t>Calle 17 No. 69-94</t>
        </is>
      </c>
      <c r="F6" s="3" t="inlineStr">
        <is>
          <t>Fontibón – Montevideo</t>
        </is>
      </c>
      <c r="G6" s="3" t="n">
        <v>4.6462</v>
      </c>
      <c r="H6" s="3" t="n">
        <v>-74.1208</v>
      </c>
      <c r="I6" s="3" t="inlineStr">
        <is>
          <t>08:00</t>
        </is>
      </c>
      <c r="J6" s="3" t="inlineStr">
        <is>
          <t>17:30</t>
        </is>
      </c>
      <c r="K6" s="3" t="inlineStr">
        <is>
          <t>Sí</t>
        </is>
      </c>
      <c r="L6" s="4" t="inlineStr">
        <is>
          <t>Transportadora mediana en pleno corredor logístico de Montevideo, con despacho, seguimiento y documentos manuales.</t>
        </is>
      </c>
      <c r="M6" s="3" t="inlineStr">
        <is>
          <t>https://www.sarvi.com.co</t>
        </is>
      </c>
    </row>
    <row r="7">
      <c r="A7" s="3" t="inlineStr">
        <is>
          <t>N02</t>
        </is>
      </c>
      <c r="B7" s="4" t="inlineStr">
        <is>
          <t>Transportes Vigía S.A.S.</t>
        </is>
      </c>
      <c r="C7" s="6" t="inlineStr">
        <is>
          <t>Cliente</t>
        </is>
      </c>
      <c r="D7" s="4" t="inlineStr">
        <is>
          <t>Transporte y logística integrada (nacional, Ecuador y Venezuela)</t>
        </is>
      </c>
      <c r="E7" s="4" t="inlineStr">
        <is>
          <t>Calle 17 # 21-75</t>
        </is>
      </c>
      <c r="F7" s="3" t="inlineStr">
        <is>
          <t>Los Mártires – Paloquemao</t>
        </is>
      </c>
      <c r="G7" s="3" t="n">
        <v>4.6112</v>
      </c>
      <c r="H7" s="3" t="n">
        <v>-74.0818</v>
      </c>
      <c r="I7" s="3" t="inlineStr">
        <is>
          <t>08:00</t>
        </is>
      </c>
      <c r="J7" s="3" t="inlineStr">
        <is>
          <t>17:30</t>
        </is>
      </c>
      <c r="K7" s="3" t="inlineStr">
        <is>
          <t>Sí</t>
        </is>
      </c>
      <c r="L7" s="4" t="inlineStr">
        <is>
          <t>47 años con rutas internacionales: agentes para conciliar guías, manifiestos y facturación.</t>
        </is>
      </c>
      <c r="M7" s="3" t="inlineStr">
        <is>
          <t>https://www.transportesvigia.com</t>
        </is>
      </c>
    </row>
    <row r="8">
      <c r="A8" s="3" t="inlineStr">
        <is>
          <t>N03</t>
        </is>
      </c>
      <c r="B8" s="4" t="inlineStr">
        <is>
          <t>AMIL Cargo Logística</t>
        </is>
      </c>
      <c r="C8" s="6" t="inlineStr">
        <is>
          <t>Cliente</t>
        </is>
      </c>
      <c r="D8" s="4" t="inlineStr">
        <is>
          <t>Transporte terrestre de carga y distribución urbana</t>
        </is>
      </c>
      <c r="E8" s="4" t="inlineStr">
        <is>
          <t>Cra. 71 # 21-19, Of. 8A, CC Montevideo Plaza</t>
        </is>
      </c>
      <c r="F8" s="3" t="inlineStr">
        <is>
          <t>Fontibón – Montevideo</t>
        </is>
      </c>
      <c r="G8" s="3" t="n">
        <v>4.654</v>
      </c>
      <c r="H8" s="3" t="n">
        <v>-74.1215</v>
      </c>
      <c r="I8" s="3" t="inlineStr">
        <is>
          <t>08:00</t>
        </is>
      </c>
      <c r="J8" s="3" t="inlineStr">
        <is>
          <t>17:00</t>
        </is>
      </c>
      <c r="K8" s="3" t="inlineStr">
        <is>
          <t>No</t>
        </is>
      </c>
      <c r="L8" s="4" t="inlineStr">
        <is>
          <t>Coordina más de 2.300 vehículos tercerizados desde una oficina pequeña: ideal para agentes de asignación y trazabilidad.</t>
        </is>
      </c>
      <c r="M8" s="3" t="inlineStr">
        <is>
          <t>https://www.amilcargo.com</t>
        </is>
      </c>
    </row>
    <row r="9">
      <c r="A9" s="3" t="inlineStr">
        <is>
          <t>N04</t>
        </is>
      </c>
      <c r="B9" s="4" t="inlineStr">
        <is>
          <t>Tecnicargas de Colombia</t>
        </is>
      </c>
      <c r="C9" s="6" t="inlineStr">
        <is>
          <t>Cliente</t>
        </is>
      </c>
      <c r="D9" s="4" t="inlineStr">
        <is>
          <t>Carga puerta a puerta, consolidada y mudanzas</t>
        </is>
      </c>
      <c r="E9" s="4" t="inlineStr">
        <is>
          <t>Calle 8A No. 32-50</t>
        </is>
      </c>
      <c r="F9" s="3" t="inlineStr">
        <is>
          <t>Puente Aranda – Pensilvania</t>
        </is>
      </c>
      <c r="G9" s="3" t="n">
        <v>4.609</v>
      </c>
      <c r="H9" s="3" t="n">
        <v>-74.09480000000001</v>
      </c>
      <c r="I9" s="3" t="inlineStr">
        <is>
          <t>08:00</t>
        </is>
      </c>
      <c r="J9" s="3" t="inlineStr">
        <is>
          <t>17:00</t>
        </is>
      </c>
      <c r="K9" s="3" t="inlineStr">
        <is>
          <t>Sí</t>
        </is>
      </c>
      <c r="L9" s="4" t="inlineStr">
        <is>
          <t>PYME de 35 años que cotiza por WhatsApp: agente cotizador y automatización de pagos y guías.</t>
        </is>
      </c>
      <c r="M9" s="3" t="inlineStr">
        <is>
          <t>https://www.tecnicargas.com</t>
        </is>
      </c>
    </row>
    <row r="10">
      <c r="A10" s="3" t="inlineStr">
        <is>
          <t>N05</t>
        </is>
      </c>
      <c r="B10" s="4" t="inlineStr">
        <is>
          <t>Blu Logistics Colombia S.A.S.</t>
        </is>
      </c>
      <c r="C10" s="6" t="inlineStr">
        <is>
          <t>Cliente</t>
        </is>
      </c>
      <c r="D10" s="4" t="inlineStr">
        <is>
          <t>Agencia de carga internacional, bodegaje y aduanas</t>
        </is>
      </c>
      <c r="E10" s="4" t="inlineStr">
        <is>
          <t>Carrera 106 No. 15A-25, Zona Franca de Bogotá</t>
        </is>
      </c>
      <c r="F10" s="3" t="inlineStr">
        <is>
          <t>Fontibón – Zona Franca</t>
        </is>
      </c>
      <c r="G10" s="3" t="n">
        <v>4.6712</v>
      </c>
      <c r="H10" s="3" t="n">
        <v>-74.1555</v>
      </c>
      <c r="I10" s="3" t="inlineStr">
        <is>
          <t>08:00</t>
        </is>
      </c>
      <c r="J10" s="3" t="inlineStr">
        <is>
          <t>18:00</t>
        </is>
      </c>
      <c r="K10" s="3" t="inlineStr">
        <is>
          <t>Sí</t>
        </is>
      </c>
      <c r="L10" s="4" t="inlineStr">
        <is>
          <t>Alto volumen de papeleo aduanero e inventarios: automatización documental con IA.</t>
        </is>
      </c>
      <c r="M10" s="3" t="inlineStr">
        <is>
          <t>https://www.leadstal.com/sb/blu-logistics-bogota-colombia</t>
        </is>
      </c>
    </row>
    <row r="11">
      <c r="A11" s="3" t="inlineStr">
        <is>
          <t>N06</t>
        </is>
      </c>
      <c r="B11" s="4" t="inlineStr">
        <is>
          <t>Colombiana de Tanques – Coltanques S.A.S.</t>
        </is>
      </c>
      <c r="C11" s="6" t="inlineStr">
        <is>
          <t>Cliente</t>
        </is>
      </c>
      <c r="D11" s="4" t="inlineStr">
        <is>
          <t>Transporte de carga líquida y masiva</t>
        </is>
      </c>
      <c r="E11" s="4" t="inlineStr">
        <is>
          <t>Cra. 88 No. 17B-40</t>
        </is>
      </c>
      <c r="F11" s="3" t="inlineStr">
        <is>
          <t>Fontibón – Villemar</t>
        </is>
      </c>
      <c r="G11" s="3" t="n">
        <v>4.6665</v>
      </c>
      <c r="H11" s="3" t="n">
        <v>-74.13849999999999</v>
      </c>
      <c r="I11" s="3" t="inlineStr">
        <is>
          <t>07:30</t>
        </is>
      </c>
      <c r="J11" s="3" t="inlineStr">
        <is>
          <t>17:30</t>
        </is>
      </c>
      <c r="K11" s="3" t="inlineStr">
        <is>
          <t>Sí</t>
        </is>
      </c>
      <c r="L11" s="4" t="inlineStr">
        <is>
          <t>Transporte especializado en el eje Calle 17 / Cra. 88: cumplimiento normativo (RNDC, manifiestos).</t>
        </is>
      </c>
      <c r="M11" s="3" t="inlineStr">
        <is>
          <t>https://www.guiasenior.com/directorio/empresas/8225834/colombiana-de-tanques-coltanques-sas.htm</t>
        </is>
      </c>
    </row>
    <row r="12">
      <c r="A12" s="3" t="inlineStr">
        <is>
          <t>N07</t>
        </is>
      </c>
      <c r="B12" s="4" t="inlineStr">
        <is>
          <t>Transportes PYP</t>
        </is>
      </c>
      <c r="C12" s="6" t="inlineStr">
        <is>
          <t>Cliente</t>
        </is>
      </c>
      <c r="D12" s="4" t="inlineStr">
        <is>
          <t>Almacenamiento, tercerización de bodegas y transporte</t>
        </is>
      </c>
      <c r="E12" s="4" t="inlineStr">
        <is>
          <t>Cl. 8 Bis A #82B-21</t>
        </is>
      </c>
      <c r="F12" s="3" t="inlineStr">
        <is>
          <t>Kennedy – Castilla</t>
        </is>
      </c>
      <c r="G12" s="3" t="n">
        <v>4.6405</v>
      </c>
      <c r="H12" s="3" t="n">
        <v>-74.14400000000001</v>
      </c>
      <c r="I12" s="3" t="inlineStr">
        <is>
          <t>08:00</t>
        </is>
      </c>
      <c r="J12" s="3" t="inlineStr">
        <is>
          <t>17:00</t>
        </is>
      </c>
      <c r="K12" s="3" t="inlineStr">
        <is>
          <t>Sí</t>
        </is>
      </c>
      <c r="L12" s="4" t="inlineStr">
        <is>
          <t>Operador con más de 10 sedes de bodegaje: control de inventario y reportes automáticos.</t>
        </is>
      </c>
      <c r="M12" s="3" t="inlineStr">
        <is>
          <t>https://transportespyp.com.co/almacenamiento-logistico/</t>
        </is>
      </c>
    </row>
    <row r="13">
      <c r="A13" s="3" t="inlineStr">
        <is>
          <t>N08</t>
        </is>
      </c>
      <c r="B13" s="4" t="inlineStr">
        <is>
          <t>EcoStorage</t>
        </is>
      </c>
      <c r="C13" s="6" t="inlineStr">
        <is>
          <t>Cliente</t>
        </is>
      </c>
      <c r="D13" s="4" t="inlineStr">
        <is>
          <t>Bodegaje y mini bodegas para empresas</t>
        </is>
      </c>
      <c r="E13" s="4" t="inlineStr">
        <is>
          <t>Cra. 94 #66A-43</t>
        </is>
      </c>
      <c r="F13" s="3" t="inlineStr">
        <is>
          <t>Engativá – Álamos</t>
        </is>
      </c>
      <c r="G13" s="3" t="n">
        <v>4.693</v>
      </c>
      <c r="H13" s="3" t="n">
        <v>-74.11499999999999</v>
      </c>
      <c r="I13" s="3" t="inlineStr">
        <is>
          <t>08:00</t>
        </is>
      </c>
      <c r="J13" s="3" t="inlineStr">
        <is>
          <t>18:00</t>
        </is>
      </c>
      <c r="K13" s="3" t="inlineStr">
        <is>
          <t>Sí</t>
        </is>
      </c>
      <c r="L13" s="4" t="inlineStr">
        <is>
          <t>Almacenamiento cerca al aeropuerto: agente de reservas, cobros y atención por WhatsApp.</t>
        </is>
      </c>
      <c r="M13" s="3" t="inlineStr">
        <is>
          <t>https://ecostorage.com.co/</t>
        </is>
      </c>
    </row>
    <row r="14">
      <c r="A14" s="3" t="inlineStr">
        <is>
          <t>N09</t>
        </is>
      </c>
      <c r="B14" s="4" t="inlineStr">
        <is>
          <t>TMEX – Tu Mensajero Express</t>
        </is>
      </c>
      <c r="C14" s="6" t="inlineStr">
        <is>
          <t>Cliente</t>
        </is>
      </c>
      <c r="D14" s="4" t="inlineStr">
        <is>
          <t>Mensajería y última milla para e-commerce</t>
        </is>
      </c>
      <c r="E14" s="4" t="inlineStr">
        <is>
          <t>Carrera 23 # 53D-52, Int. 101</t>
        </is>
      </c>
      <c r="F14" s="3" t="inlineStr">
        <is>
          <t>Teusaquillo – Galerías</t>
        </is>
      </c>
      <c r="G14" s="3" t="n">
        <v>4.645</v>
      </c>
      <c r="H14" s="3" t="n">
        <v>-74.074</v>
      </c>
      <c r="I14" s="3" t="inlineStr">
        <is>
          <t>07:30</t>
        </is>
      </c>
      <c r="J14" s="3" t="inlineStr">
        <is>
          <t>17:00</t>
        </is>
      </c>
      <c r="K14" s="3" t="inlineStr">
        <is>
          <t>No</t>
        </is>
      </c>
      <c r="L14" s="4" t="inlineStr">
        <is>
          <t>Última milla con contra entrega y confirmación previa: tareas repetitivas ideales para un agente.</t>
        </is>
      </c>
      <c r="M14" s="3" t="inlineStr">
        <is>
          <t>https://tumensajeroexpress.com.co/logistica-de-ultima-milla-en-bogota/</t>
        </is>
      </c>
    </row>
    <row r="15">
      <c r="A15" s="3" t="inlineStr">
        <is>
          <t>N10</t>
        </is>
      </c>
      <c r="B15" s="4" t="inlineStr">
        <is>
          <t>Distribuciones El Mayorista</t>
        </is>
      </c>
      <c r="C15" s="6" t="inlineStr">
        <is>
          <t>Cliente</t>
        </is>
      </c>
      <c r="D15" s="4" t="inlineStr">
        <is>
          <t>Distribución mayorista de hogar (Corona, Imusa, Rimax)</t>
        </is>
      </c>
      <c r="E15" s="4" t="inlineStr">
        <is>
          <t>Calle 17 No. 65B-31</t>
        </is>
      </c>
      <c r="F15" s="3" t="inlineStr">
        <is>
          <t>Puente Aranda – Zona Industrial</t>
        </is>
      </c>
      <c r="G15" s="3" t="n">
        <v>4.6435</v>
      </c>
      <c r="H15" s="3" t="n">
        <v>-74.1165</v>
      </c>
      <c r="I15" s="3" t="inlineStr">
        <is>
          <t>08:30</t>
        </is>
      </c>
      <c r="J15" s="3" t="inlineStr">
        <is>
          <t>19:00</t>
        </is>
      </c>
      <c r="K15" s="3" t="inlineStr">
        <is>
          <t>No</t>
        </is>
      </c>
      <c r="L15" s="4" t="inlineStr">
        <is>
          <t>Mayorista con pedidos en línea y despachos a tenderos: toma de pedidos y conciliación.</t>
        </is>
      </c>
      <c r="M15" s="3" t="inlineStr">
        <is>
          <t>https://www.elmayorista.com</t>
        </is>
      </c>
    </row>
    <row r="16">
      <c r="A16" s="3" t="inlineStr">
        <is>
          <t>N11</t>
        </is>
      </c>
      <c r="B16" s="4" t="inlineStr">
        <is>
          <t>Avanzar Logística Integral</t>
        </is>
      </c>
      <c r="C16" s="6" t="inlineStr">
        <is>
          <t>Cliente</t>
        </is>
      </c>
      <c r="D16" s="4" t="inlineStr">
        <is>
          <t>Bodegaje, mini bodegas y transporte</t>
        </is>
      </c>
      <c r="E16" s="4" t="inlineStr">
        <is>
          <t>Calle 70A # 22-27</t>
        </is>
      </c>
      <c r="F16" s="3" t="inlineStr">
        <is>
          <t>Barrios Unidos – San Felipe</t>
        </is>
      </c>
      <c r="G16" s="3" t="n">
        <v>4.661</v>
      </c>
      <c r="H16" s="3" t="n">
        <v>-74.06699999999999</v>
      </c>
      <c r="I16" s="3" t="inlineStr">
        <is>
          <t>10:00</t>
        </is>
      </c>
      <c r="J16" s="3" t="inlineStr">
        <is>
          <t>20:00</t>
        </is>
      </c>
      <c r="K16" s="3" t="inlineStr">
        <is>
          <t>No</t>
        </is>
      </c>
      <c r="L16" s="4" t="inlineStr">
        <is>
          <t>Micro operador logístico cerca de la sede: primer piloto fácil de visitar.</t>
        </is>
      </c>
      <c r="M16" s="3" t="inlineStr">
        <is>
          <t>https://avanzarlogisticaintegral.com/bodegaje-y-almacenamiento/</t>
        </is>
      </c>
    </row>
    <row r="17">
      <c r="A17" s="3" t="inlineStr">
        <is>
          <t>N12</t>
        </is>
      </c>
      <c r="B17" s="4" t="inlineStr">
        <is>
          <t>WeWork Calle 93</t>
        </is>
      </c>
      <c r="C17" s="7" t="inlineStr">
        <is>
          <t>Proveedor</t>
        </is>
      </c>
      <c r="D17" s="4" t="inlineStr">
        <is>
          <t>Coworking (sede de Kiwano)</t>
        </is>
      </c>
      <c r="E17" s="4" t="inlineStr">
        <is>
          <t>Calle 93 # 19-55</t>
        </is>
      </c>
      <c r="F17" s="3" t="inlineStr">
        <is>
          <t>Chapinero – Parque 93</t>
        </is>
      </c>
      <c r="G17" s="3" t="n">
        <v>4.6785</v>
      </c>
      <c r="H17" s="3" t="n">
        <v>-74.05549999999999</v>
      </c>
      <c r="I17" s="3" t="inlineStr">
        <is>
          <t>09:00</t>
        </is>
      </c>
      <c r="J17" s="3" t="inlineStr">
        <is>
          <t>18:00</t>
        </is>
      </c>
      <c r="K17" s="3" t="inlineStr">
        <is>
          <t>Sí</t>
        </is>
      </c>
      <c r="L17" s="4" t="inlineStr">
        <is>
          <t>Puestos flexibles con internet, servicios y salas para demos en zona corporativa.</t>
        </is>
      </c>
      <c r="M17" s="3" t="inlineStr">
        <is>
          <t>https://www.wework.com/es-LA/buildings/calle-93-19-55--bogota</t>
        </is>
      </c>
    </row>
    <row r="18">
      <c r="A18" s="3" t="inlineStr">
        <is>
          <t>N13</t>
        </is>
      </c>
      <c r="B18" s="4" t="inlineStr">
        <is>
          <t>ETB – Centro de Experiencia Chicó</t>
        </is>
      </c>
      <c r="C18" s="7" t="inlineStr">
        <is>
          <t>Proveedor</t>
        </is>
      </c>
      <c r="D18" s="4" t="inlineStr">
        <is>
          <t>Internet y telefonía móvil</t>
        </is>
      </c>
      <c r="E18" s="4" t="inlineStr">
        <is>
          <t>Cra. 15 # 90-13</t>
        </is>
      </c>
      <c r="F18" s="3" t="inlineStr">
        <is>
          <t>Chapinero – Chicó</t>
        </is>
      </c>
      <c r="G18" s="3" t="n">
        <v>4.6732</v>
      </c>
      <c r="H18" s="3" t="n">
        <v>-74.051</v>
      </c>
      <c r="I18" s="3" t="inlineStr">
        <is>
          <t>07:00</t>
        </is>
      </c>
      <c r="J18" s="3" t="inlineStr">
        <is>
          <t>16:00</t>
        </is>
      </c>
      <c r="K18" s="3" t="inlineStr">
        <is>
          <t>No</t>
        </is>
      </c>
      <c r="L18" s="4" t="inlineStr">
        <is>
          <t>Operador distrital a 3 cuadras de la sede: líneas móviles y conectividad de respaldo.</t>
        </is>
      </c>
      <c r="M18" s="3" t="inlineStr">
        <is>
          <t>https://selectra.com.co/tiendas/etb/bogota</t>
        </is>
      </c>
    </row>
    <row r="19">
      <c r="A19" s="3" t="inlineStr">
        <is>
          <t>N14</t>
        </is>
      </c>
      <c r="B19" s="4" t="inlineStr">
        <is>
          <t>G&amp;D Consulting Group</t>
        </is>
      </c>
      <c r="C19" s="7" t="inlineStr">
        <is>
          <t>Proveedor</t>
        </is>
      </c>
      <c r="D19" s="4" t="inlineStr">
        <is>
          <t>Outsourcing contable, tributario y legal para pymes</t>
        </is>
      </c>
      <c r="E19" s="4" t="inlineStr">
        <is>
          <t>Calle 98 #18-71, Of. 604-607, Ed. Varese</t>
        </is>
      </c>
      <c r="F19" s="3" t="inlineStr">
        <is>
          <t>Chapinero – Chicó Norte</t>
        </is>
      </c>
      <c r="G19" s="3" t="n">
        <v>4.6845</v>
      </c>
      <c r="H19" s="3" t="n">
        <v>-74.05249999999999</v>
      </c>
      <c r="I19" s="3" t="inlineStr">
        <is>
          <t>08:00</t>
        </is>
      </c>
      <c r="J19" s="3" t="inlineStr">
        <is>
          <t>17:30</t>
        </is>
      </c>
      <c r="K19" s="3" t="inlineStr">
        <is>
          <t>Sí</t>
        </is>
      </c>
      <c r="L19" s="4" t="inlineStr">
        <is>
          <t>Contabilidad, nómina y constitución de la SAS, cerca del coworking.</t>
        </is>
      </c>
      <c r="M19" s="3" t="inlineStr">
        <is>
          <t>https://www.gydconsulting.com/servicios/</t>
        </is>
      </c>
    </row>
    <row r="20">
      <c r="A20" s="3" t="inlineStr">
        <is>
          <t>N15</t>
        </is>
      </c>
      <c r="B20" s="4" t="inlineStr">
        <is>
          <t>Litografía Grafolito</t>
        </is>
      </c>
      <c r="C20" s="7" t="inlineStr">
        <is>
          <t>Proveedor</t>
        </is>
      </c>
      <c r="D20" s="4" t="inlineStr">
        <is>
          <t>Imprenta digital y litografía (volantes)</t>
        </is>
      </c>
      <c r="E20" s="4" t="inlineStr">
        <is>
          <t>Calle 24C #25-61</t>
        </is>
      </c>
      <c r="F20" s="3" t="inlineStr">
        <is>
          <t>Los Mártires – Samper Mendoza</t>
        </is>
      </c>
      <c r="G20" s="3" t="n">
        <v>4.6195</v>
      </c>
      <c r="H20" s="3" t="n">
        <v>-74.083</v>
      </c>
      <c r="I20" s="3" t="inlineStr">
        <is>
          <t>07:00</t>
        </is>
      </c>
      <c r="J20" s="3" t="inlineStr">
        <is>
          <t>17:30</t>
        </is>
      </c>
      <c r="K20" s="3" t="inlineStr">
        <is>
          <t>No</t>
        </is>
      </c>
      <c r="L20" s="4" t="inlineStr">
        <is>
          <t>Tirajes cortos y urgentes de volantes para el puerta a puerta, cerca de Paloquemao.</t>
        </is>
      </c>
      <c r="M20" s="3" t="inlineStr">
        <is>
          <t>https://litografiagrafolito.com/impresion-digital-bogota/</t>
        </is>
      </c>
    </row>
    <row r="21">
      <c r="A21" s="3" t="inlineStr">
        <is>
          <t>N16</t>
        </is>
      </c>
      <c r="B21" s="4" t="inlineStr">
        <is>
          <t>XMS Colombia</t>
        </is>
      </c>
      <c r="C21" s="7" t="inlineStr">
        <is>
          <t>Proveedor</t>
        </is>
      </c>
      <c r="D21" s="4" t="inlineStr">
        <is>
          <t>Partner Microsoft (Azure, Power Platform, Copilot)</t>
        </is>
      </c>
      <c r="E21" s="4" t="inlineStr">
        <is>
          <t>Carrera 14 #85A-68, Ed. Torres 45, Of. 606</t>
        </is>
      </c>
      <c r="F21" s="3" t="inlineStr">
        <is>
          <t>Chapinero – Antiguo Country</t>
        </is>
      </c>
      <c r="G21" s="3" t="n">
        <v>4.6695</v>
      </c>
      <c r="H21" s="3" t="n">
        <v>-74.054</v>
      </c>
      <c r="I21" s="3" t="inlineStr">
        <is>
          <t>08:00</t>
        </is>
      </c>
      <c r="J21" s="3" t="inlineStr">
        <is>
          <t>18:00</t>
        </is>
      </c>
      <c r="K21" s="3" t="inlineStr">
        <is>
          <t>Sí</t>
        </is>
      </c>
      <c r="L21" s="4" t="inlineStr">
        <is>
          <t>Licencias y soporte de nube Azure para alojar los agentes de Kiwano.</t>
        </is>
      </c>
      <c r="M21" s="3" t="inlineStr">
        <is>
          <t>https://www.xmslatam.com/contacto</t>
        </is>
      </c>
    </row>
    <row r="22">
      <c r="A22" s="3" t="inlineStr">
        <is>
          <t>N17</t>
        </is>
      </c>
      <c r="B22" s="4" t="inlineStr">
        <is>
          <t>Sophos Solutions (grupo GFT)</t>
        </is>
      </c>
      <c r="C22" s="8" t="inlineStr">
        <is>
          <t>Competencia</t>
        </is>
      </c>
      <c r="D22" s="4" t="inlineStr">
        <is>
          <t>Software financiero, integración y RPA</t>
        </is>
      </c>
      <c r="E22" s="4" t="inlineStr">
        <is>
          <t>Carrera 11 No. 71-73, Piso 4</t>
        </is>
      </c>
      <c r="F22" s="3" t="inlineStr">
        <is>
          <t>Chapinero – Calle 72</t>
        </is>
      </c>
      <c r="G22" s="3" t="n">
        <v>4.657</v>
      </c>
      <c r="H22" s="3" t="n">
        <v>-74.0598</v>
      </c>
      <c r="I22" s="3" t="inlineStr">
        <is>
          <t>08:00</t>
        </is>
      </c>
      <c r="J22" s="3" t="inlineStr">
        <is>
          <t>17:30</t>
        </is>
      </c>
      <c r="K22" s="3" t="inlineStr">
        <is>
          <t>Sí</t>
        </is>
      </c>
      <c r="L22" s="4" t="inlineStr">
        <is>
          <t>Integrador grande con equipos RPA, enfocado en banca.</t>
        </is>
      </c>
      <c r="M22" s="3" t="inlineStr">
        <is>
          <t>https://www.cbinsights.com/company/sophos-solutions</t>
        </is>
      </c>
    </row>
    <row r="23">
      <c r="A23" s="3" t="inlineStr">
        <is>
          <t>N18</t>
        </is>
      </c>
      <c r="B23" s="4" t="inlineStr">
        <is>
          <t>Automaxia (Agencia IA)</t>
        </is>
      </c>
      <c r="C23" s="8" t="inlineStr">
        <is>
          <t>Competencia</t>
        </is>
      </c>
      <c r="D23" s="4" t="inlineStr">
        <is>
          <t>RPA + IA a medida (UiPath, AA, Blue Prism, Power Automate)</t>
        </is>
      </c>
      <c r="E23" s="4" t="inlineStr">
        <is>
          <t>Carrera 16 #85-39, Segundo Piso</t>
        </is>
      </c>
      <c r="F23" s="3" t="inlineStr">
        <is>
          <t>Chapinero – Calle 85</t>
        </is>
      </c>
      <c r="G23" s="3" t="n">
        <v>4.6692</v>
      </c>
      <c r="H23" s="3" t="n">
        <v>-74.0565</v>
      </c>
      <c r="I23" s="3" t="inlineStr">
        <is>
          <t>08:00</t>
        </is>
      </c>
      <c r="J23" s="3" t="inlineStr">
        <is>
          <t>18:00</t>
        </is>
      </c>
      <c r="K23" s="3" t="inlineStr">
        <is>
          <t>Sí</t>
        </is>
      </c>
      <c r="L23" s="4" t="inlineStr">
        <is>
          <t>El competidor más directo: RPA + IA para pymes, incluida logística, en la misma zona.</t>
        </is>
      </c>
      <c r="M23" s="3" t="inlineStr">
        <is>
          <t>https://automaxia.com/automatizacion-rpa-y-ia/</t>
        </is>
      </c>
    </row>
    <row r="24">
      <c r="A24" s="3" t="inlineStr">
        <is>
          <t>N19</t>
        </is>
      </c>
      <c r="B24" s="4" t="inlineStr">
        <is>
          <t>IAC – Ingeniería Asistida por Computador</t>
        </is>
      </c>
      <c r="C24" s="8" t="inlineStr">
        <is>
          <t>Competencia</t>
        </is>
      </c>
      <c r="D24" s="4" t="inlineStr">
        <is>
          <t>Consultoría en automatización de procesos (RPA/IPA)</t>
        </is>
      </c>
      <c r="E24" s="4" t="inlineStr">
        <is>
          <t>Cra 11 #73-44, Oficina 803</t>
        </is>
      </c>
      <c r="F24" s="3" t="inlineStr">
        <is>
          <t>Chapinero – Calle 72</t>
        </is>
      </c>
      <c r="G24" s="3" t="n">
        <v>4.659</v>
      </c>
      <c r="H24" s="3" t="n">
        <v>-74.059</v>
      </c>
      <c r="I24" s="3" t="inlineStr">
        <is>
          <t>08:00</t>
        </is>
      </c>
      <c r="J24" s="3" t="inlineStr">
        <is>
          <t>17:30</t>
        </is>
      </c>
      <c r="K24" s="3" t="inlineStr">
        <is>
          <t>Sí</t>
        </is>
      </c>
      <c r="L24" s="4" t="inlineStr">
        <is>
          <t>RPA y automatización inteligente para finanzas, RR. HH. y compras en empresas medianas.</t>
        </is>
      </c>
      <c r="M24" s="3" t="inlineStr">
        <is>
          <t>https://iac.com.co/servicios/consultoria-automatizacion-de-procesos/</t>
        </is>
      </c>
    </row>
    <row r="25">
      <c r="A25" s="3" t="inlineStr">
        <is>
          <t>N20</t>
        </is>
      </c>
      <c r="B25" s="4" t="inlineStr">
        <is>
          <t>Automation Anywhere Colombia S.A.S.</t>
        </is>
      </c>
      <c r="C25" s="8" t="inlineStr">
        <is>
          <t>Competencia</t>
        </is>
      </c>
      <c r="D25" s="4" t="inlineStr">
        <is>
          <t>Fabricante de plataforma RPA y agentes de IA</t>
        </is>
      </c>
      <c r="E25" s="4" t="inlineStr">
        <is>
          <t>Carrera 7 # 116-50, Oficina 03-102</t>
        </is>
      </c>
      <c r="F25" s="3" t="inlineStr">
        <is>
          <t>Usaquén – Santa Bárbara</t>
        </is>
      </c>
      <c r="G25" s="3" t="n">
        <v>4.6955</v>
      </c>
      <c r="H25" s="3" t="n">
        <v>-74.03149999999999</v>
      </c>
      <c r="I25" s="3" t="inlineStr">
        <is>
          <t>08:00</t>
        </is>
      </c>
      <c r="J25" s="3" t="inlineStr">
        <is>
          <t>17:00</t>
        </is>
      </c>
      <c r="K25" s="3" t="inlineStr">
        <is>
          <t>Sí</t>
        </is>
      </c>
      <c r="L25" s="4" t="inlineStr">
        <is>
          <t>Fabricante global: fija el precio de referencia alto frente al que Kiwano es la opción accesible.</t>
        </is>
      </c>
      <c r="M25" s="3" t="inlineStr">
        <is>
          <t>https://www.automationanywhere.com/la/company/global-presence</t>
        </is>
      </c>
    </row>
    <row r="27">
      <c r="B27" s="9" t="inlineStr">
        <is>
          <t>Resumen por tipo</t>
        </is>
      </c>
    </row>
    <row r="28">
      <c r="B28" t="inlineStr">
        <is>
          <t>Cliente</t>
        </is>
      </c>
      <c r="C28" t="n">
        <v>11</v>
      </c>
    </row>
    <row r="29">
      <c r="B29" t="inlineStr">
        <is>
          <t>Proveedor</t>
        </is>
      </c>
      <c r="C29" t="n">
        <v>5</v>
      </c>
    </row>
    <row r="30">
      <c r="B30" t="inlineStr">
        <is>
          <t>Competencia</t>
        </is>
      </c>
      <c r="C3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</cols>
  <sheetData>
    <row r="1">
      <c r="A1" s="1" t="inlineStr">
        <is>
          <t>Matriz de distancias viales estimadas (km)</t>
        </is>
      </c>
    </row>
    <row r="2">
      <c r="A2" t="inlineStr">
        <is>
          <t>Distancia = haversine (línea recta sobre la Tierra) × factor de circuidad 1.35 para aproximar el recorrido por calles de Bogotá.</t>
        </is>
      </c>
    </row>
    <row r="4">
      <c r="A4" s="2" t="inlineStr">
        <is>
          <t>km</t>
        </is>
      </c>
      <c r="B4" s="2" t="inlineStr">
        <is>
          <t>N00</t>
        </is>
      </c>
      <c r="C4" s="2" t="inlineStr">
        <is>
          <t>N01</t>
        </is>
      </c>
      <c r="D4" s="2" t="inlineStr">
        <is>
          <t>N02</t>
        </is>
      </c>
      <c r="E4" s="2" t="inlineStr">
        <is>
          <t>N03</t>
        </is>
      </c>
      <c r="F4" s="2" t="inlineStr">
        <is>
          <t>N04</t>
        </is>
      </c>
      <c r="G4" s="2" t="inlineStr">
        <is>
          <t>N05</t>
        </is>
      </c>
      <c r="H4" s="2" t="inlineStr">
        <is>
          <t>N06</t>
        </is>
      </c>
      <c r="I4" s="2" t="inlineStr">
        <is>
          <t>N07</t>
        </is>
      </c>
      <c r="J4" s="2" t="inlineStr">
        <is>
          <t>N08</t>
        </is>
      </c>
      <c r="K4" s="2" t="inlineStr">
        <is>
          <t>N09</t>
        </is>
      </c>
      <c r="L4" s="2" t="inlineStr">
        <is>
          <t>N10</t>
        </is>
      </c>
      <c r="M4" s="2" t="inlineStr">
        <is>
          <t>N11</t>
        </is>
      </c>
      <c r="N4" s="2" t="inlineStr">
        <is>
          <t>N12</t>
        </is>
      </c>
      <c r="O4" s="2" t="inlineStr">
        <is>
          <t>N13</t>
        </is>
      </c>
      <c r="P4" s="2" t="inlineStr">
        <is>
          <t>N14</t>
        </is>
      </c>
      <c r="Q4" s="2" t="inlineStr">
        <is>
          <t>N15</t>
        </is>
      </c>
      <c r="R4" s="2" t="inlineStr">
        <is>
          <t>N16</t>
        </is>
      </c>
      <c r="S4" s="2" t="inlineStr">
        <is>
          <t>N17</t>
        </is>
      </c>
      <c r="T4" s="2" t="inlineStr">
        <is>
          <t>N18</t>
        </is>
      </c>
      <c r="U4" s="2" t="inlineStr">
        <is>
          <t>N19</t>
        </is>
      </c>
      <c r="V4" s="2" t="inlineStr">
        <is>
          <t>N20</t>
        </is>
      </c>
    </row>
    <row r="5">
      <c r="A5" s="10" t="inlineStr">
        <is>
          <t>N00 Kiwano</t>
        </is>
      </c>
      <c r="B5" s="11" t="n">
        <v>0</v>
      </c>
      <c r="C5" s="11" t="n">
        <v>10.91</v>
      </c>
      <c r="D5" s="11" t="n">
        <v>10.84</v>
      </c>
      <c r="E5" s="11" t="n">
        <v>10.54</v>
      </c>
      <c r="F5" s="11" t="n">
        <v>11.98</v>
      </c>
      <c r="G5" s="11" t="n">
        <v>15</v>
      </c>
      <c r="H5" s="11" t="n">
        <v>12.55</v>
      </c>
      <c r="I5" s="11" t="n">
        <v>14.42</v>
      </c>
      <c r="J5" s="11" t="n">
        <v>9.16</v>
      </c>
      <c r="K5" s="11" t="n">
        <v>5.74</v>
      </c>
      <c r="L5" s="11" t="n">
        <v>10.53</v>
      </c>
      <c r="M5" s="11" t="n">
        <v>3.14</v>
      </c>
      <c r="N5" s="11" t="n">
        <v>0</v>
      </c>
      <c r="O5" s="11" t="n">
        <v>1.04</v>
      </c>
      <c r="P5" s="11" t="n">
        <v>1.01</v>
      </c>
      <c r="Q5" s="11" t="n">
        <v>9.77</v>
      </c>
      <c r="R5" s="11" t="n">
        <v>1.37</v>
      </c>
      <c r="S5" s="11" t="n">
        <v>3.29</v>
      </c>
      <c r="T5" s="11" t="n">
        <v>1.4</v>
      </c>
      <c r="U5" s="11" t="n">
        <v>2.97</v>
      </c>
      <c r="V5" s="11" t="n">
        <v>4.41</v>
      </c>
    </row>
    <row r="6">
      <c r="A6" s="10" t="inlineStr">
        <is>
          <t>N01 Sarvi</t>
        </is>
      </c>
      <c r="B6" s="11" t="n">
        <v>10.91</v>
      </c>
      <c r="C6" s="11" t="n">
        <v>0</v>
      </c>
      <c r="D6" s="11" t="n">
        <v>7.85</v>
      </c>
      <c r="E6" s="11" t="n">
        <v>1.18</v>
      </c>
      <c r="F6" s="11" t="n">
        <v>6.81</v>
      </c>
      <c r="G6" s="11" t="n">
        <v>6.41</v>
      </c>
      <c r="H6" s="11" t="n">
        <v>4.04</v>
      </c>
      <c r="I6" s="11" t="n">
        <v>3.58</v>
      </c>
      <c r="J6" s="11" t="n">
        <v>7.08</v>
      </c>
      <c r="K6" s="11" t="n">
        <v>7</v>
      </c>
      <c r="L6" s="11" t="n">
        <v>0.76</v>
      </c>
      <c r="M6" s="11" t="n">
        <v>8.35</v>
      </c>
      <c r="N6" s="11" t="n">
        <v>10.91</v>
      </c>
      <c r="O6" s="11" t="n">
        <v>11.2</v>
      </c>
      <c r="P6" s="11" t="n">
        <v>11.73</v>
      </c>
      <c r="Q6" s="11" t="n">
        <v>6.93</v>
      </c>
      <c r="R6" s="11" t="n">
        <v>10.59</v>
      </c>
      <c r="S6" s="11" t="n">
        <v>9.27</v>
      </c>
      <c r="T6" s="11" t="n">
        <v>10.22</v>
      </c>
      <c r="U6" s="11" t="n">
        <v>9.44</v>
      </c>
      <c r="V6" s="11" t="n">
        <v>15.27</v>
      </c>
    </row>
    <row r="7">
      <c r="A7" s="10" t="inlineStr">
        <is>
          <t>N02 Vigía</t>
        </is>
      </c>
      <c r="B7" s="11" t="n">
        <v>10.84</v>
      </c>
      <c r="C7" s="11" t="n">
        <v>7.85</v>
      </c>
      <c r="D7" s="11" t="n">
        <v>0</v>
      </c>
      <c r="E7" s="11" t="n">
        <v>8.75</v>
      </c>
      <c r="F7" s="11" t="n">
        <v>1.97</v>
      </c>
      <c r="G7" s="11" t="n">
        <v>14.24</v>
      </c>
      <c r="H7" s="11" t="n">
        <v>11.87</v>
      </c>
      <c r="I7" s="11" t="n">
        <v>10.29</v>
      </c>
      <c r="J7" s="11" t="n">
        <v>13.25</v>
      </c>
      <c r="K7" s="11" t="n">
        <v>5.21</v>
      </c>
      <c r="L7" s="11" t="n">
        <v>7.1</v>
      </c>
      <c r="M7" s="11" t="n">
        <v>7.8</v>
      </c>
      <c r="N7" s="11" t="n">
        <v>10.84</v>
      </c>
      <c r="O7" s="11" t="n">
        <v>10.39</v>
      </c>
      <c r="P7" s="11" t="n">
        <v>11.84</v>
      </c>
      <c r="Q7" s="11" t="n">
        <v>1.26</v>
      </c>
      <c r="R7" s="11" t="n">
        <v>9.69</v>
      </c>
      <c r="S7" s="11" t="n">
        <v>7.62</v>
      </c>
      <c r="T7" s="11" t="n">
        <v>9.49</v>
      </c>
      <c r="U7" s="11" t="n">
        <v>7.95</v>
      </c>
      <c r="V7" s="11" t="n">
        <v>14.72</v>
      </c>
    </row>
    <row r="8">
      <c r="A8" s="10" t="inlineStr">
        <is>
          <t>N03 AMIL Cargo</t>
        </is>
      </c>
      <c r="B8" s="11" t="n">
        <v>10.54</v>
      </c>
      <c r="C8" s="11" t="n">
        <v>1.18</v>
      </c>
      <c r="D8" s="11" t="n">
        <v>8.75</v>
      </c>
      <c r="E8" s="11" t="n">
        <v>0</v>
      </c>
      <c r="F8" s="11" t="n">
        <v>7.85</v>
      </c>
      <c r="G8" s="11" t="n">
        <v>5.7</v>
      </c>
      <c r="H8" s="11" t="n">
        <v>3.16</v>
      </c>
      <c r="I8" s="11" t="n">
        <v>3.93</v>
      </c>
      <c r="J8" s="11" t="n">
        <v>5.93</v>
      </c>
      <c r="K8" s="11" t="n">
        <v>7.23</v>
      </c>
      <c r="L8" s="11" t="n">
        <v>1.74</v>
      </c>
      <c r="M8" s="11" t="n">
        <v>8.220000000000001</v>
      </c>
      <c r="N8" s="11" t="n">
        <v>10.54</v>
      </c>
      <c r="O8" s="11" t="n">
        <v>10.93</v>
      </c>
      <c r="P8" s="11" t="n">
        <v>11.29</v>
      </c>
      <c r="Q8" s="11" t="n">
        <v>7.75</v>
      </c>
      <c r="R8" s="11" t="n">
        <v>10.36</v>
      </c>
      <c r="S8" s="11" t="n">
        <v>9.24</v>
      </c>
      <c r="T8" s="11" t="n">
        <v>9.99</v>
      </c>
      <c r="U8" s="11" t="n">
        <v>9.380000000000001</v>
      </c>
      <c r="V8" s="11" t="n">
        <v>14.84</v>
      </c>
    </row>
    <row r="9">
      <c r="A9" s="10" t="inlineStr">
        <is>
          <t>N04 Tecnicargas</t>
        </is>
      </c>
      <c r="B9" s="11" t="n">
        <v>11.98</v>
      </c>
      <c r="C9" s="11" t="n">
        <v>6.81</v>
      </c>
      <c r="D9" s="11" t="n">
        <v>1.97</v>
      </c>
      <c r="E9" s="11" t="n">
        <v>7.85</v>
      </c>
      <c r="F9" s="11" t="n">
        <v>0</v>
      </c>
      <c r="G9" s="11" t="n">
        <v>13.03</v>
      </c>
      <c r="H9" s="11" t="n">
        <v>10.83</v>
      </c>
      <c r="I9" s="11" t="n">
        <v>8.75</v>
      </c>
      <c r="J9" s="11" t="n">
        <v>12.97</v>
      </c>
      <c r="K9" s="11" t="n">
        <v>6.24</v>
      </c>
      <c r="L9" s="11" t="n">
        <v>6.11</v>
      </c>
      <c r="M9" s="11" t="n">
        <v>8.84</v>
      </c>
      <c r="N9" s="11" t="n">
        <v>11.98</v>
      </c>
      <c r="O9" s="11" t="n">
        <v>11.65</v>
      </c>
      <c r="P9" s="11" t="n">
        <v>12.98</v>
      </c>
      <c r="Q9" s="11" t="n">
        <v>2.37</v>
      </c>
      <c r="R9" s="11" t="n">
        <v>10.94</v>
      </c>
      <c r="S9" s="11" t="n">
        <v>8.91</v>
      </c>
      <c r="T9" s="11" t="n">
        <v>10.7</v>
      </c>
      <c r="U9" s="11" t="n">
        <v>9.220000000000001</v>
      </c>
      <c r="V9" s="11" t="n">
        <v>16.07</v>
      </c>
    </row>
    <row r="10">
      <c r="A10" s="10" t="inlineStr">
        <is>
          <t>N05 Blu Logistics</t>
        </is>
      </c>
      <c r="B10" s="11" t="n">
        <v>15</v>
      </c>
      <c r="C10" s="11" t="n">
        <v>6.41</v>
      </c>
      <c r="D10" s="11" t="n">
        <v>14.24</v>
      </c>
      <c r="E10" s="11" t="n">
        <v>5.7</v>
      </c>
      <c r="F10" s="11" t="n">
        <v>13.03</v>
      </c>
      <c r="G10" s="11" t="n">
        <v>0</v>
      </c>
      <c r="H10" s="11" t="n">
        <v>2.64</v>
      </c>
      <c r="I10" s="11" t="n">
        <v>4.92</v>
      </c>
      <c r="J10" s="11" t="n">
        <v>6.89</v>
      </c>
      <c r="K10" s="11" t="n">
        <v>12.81</v>
      </c>
      <c r="L10" s="11" t="n">
        <v>7.17</v>
      </c>
      <c r="M10" s="11" t="n">
        <v>13.33</v>
      </c>
      <c r="N10" s="11" t="n">
        <v>15</v>
      </c>
      <c r="O10" s="11" t="n">
        <v>15.64</v>
      </c>
      <c r="P10" s="11" t="n">
        <v>15.54</v>
      </c>
      <c r="Q10" s="11" t="n">
        <v>13.34</v>
      </c>
      <c r="R10" s="11" t="n">
        <v>15.19</v>
      </c>
      <c r="S10" s="11" t="n">
        <v>14.48</v>
      </c>
      <c r="T10" s="11" t="n">
        <v>14.81</v>
      </c>
      <c r="U10" s="11" t="n">
        <v>14.55</v>
      </c>
      <c r="V10" s="11" t="n">
        <v>18.91</v>
      </c>
    </row>
    <row r="11">
      <c r="A11" s="10" t="inlineStr">
        <is>
          <t>N06 Coltanques</t>
        </is>
      </c>
      <c r="B11" s="11" t="n">
        <v>12.55</v>
      </c>
      <c r="C11" s="11" t="n">
        <v>4.04</v>
      </c>
      <c r="D11" s="11" t="n">
        <v>11.87</v>
      </c>
      <c r="E11" s="11" t="n">
        <v>3.16</v>
      </c>
      <c r="F11" s="11" t="n">
        <v>10.83</v>
      </c>
      <c r="G11" s="11" t="n">
        <v>2.64</v>
      </c>
      <c r="H11" s="11" t="n">
        <v>0</v>
      </c>
      <c r="I11" s="11" t="n">
        <v>3.99</v>
      </c>
      <c r="J11" s="11" t="n">
        <v>5.31</v>
      </c>
      <c r="K11" s="11" t="n">
        <v>10.18</v>
      </c>
      <c r="L11" s="11" t="n">
        <v>4.77</v>
      </c>
      <c r="M11" s="11" t="n">
        <v>10.73</v>
      </c>
      <c r="N11" s="11" t="n">
        <v>12.55</v>
      </c>
      <c r="O11" s="11" t="n">
        <v>13.13</v>
      </c>
      <c r="P11" s="11" t="n">
        <v>13.15</v>
      </c>
      <c r="Q11" s="11" t="n">
        <v>10.9</v>
      </c>
      <c r="R11" s="11" t="n">
        <v>12.65</v>
      </c>
      <c r="S11" s="11" t="n">
        <v>11.86</v>
      </c>
      <c r="T11" s="11" t="n">
        <v>12.28</v>
      </c>
      <c r="U11" s="11" t="n">
        <v>11.95</v>
      </c>
      <c r="V11" s="11" t="n">
        <v>16.59</v>
      </c>
    </row>
    <row r="12">
      <c r="A12" s="10" t="inlineStr">
        <is>
          <t>N07 PYP</t>
        </is>
      </c>
      <c r="B12" s="11" t="n">
        <v>14.42</v>
      </c>
      <c r="C12" s="11" t="n">
        <v>3.58</v>
      </c>
      <c r="D12" s="11" t="n">
        <v>10.29</v>
      </c>
      <c r="E12" s="11" t="n">
        <v>3.93</v>
      </c>
      <c r="F12" s="11" t="n">
        <v>8.75</v>
      </c>
      <c r="G12" s="11" t="n">
        <v>4.92</v>
      </c>
      <c r="H12" s="11" t="n">
        <v>3.99</v>
      </c>
      <c r="I12" s="11" t="n">
        <v>0</v>
      </c>
      <c r="J12" s="11" t="n">
        <v>9</v>
      </c>
      <c r="K12" s="11" t="n">
        <v>10.5</v>
      </c>
      <c r="L12" s="11" t="n">
        <v>4.14</v>
      </c>
      <c r="M12" s="11" t="n">
        <v>11.92</v>
      </c>
      <c r="N12" s="11" t="n">
        <v>14.42</v>
      </c>
      <c r="O12" s="11" t="n">
        <v>14.75</v>
      </c>
      <c r="P12" s="11" t="n">
        <v>15.2</v>
      </c>
      <c r="Q12" s="11" t="n">
        <v>9.66</v>
      </c>
      <c r="R12" s="11" t="n">
        <v>14.15</v>
      </c>
      <c r="S12" s="11" t="n">
        <v>12.84</v>
      </c>
      <c r="T12" s="11" t="n">
        <v>13.78</v>
      </c>
      <c r="U12" s="11" t="n">
        <v>13.02</v>
      </c>
      <c r="V12" s="11" t="n">
        <v>18.75</v>
      </c>
    </row>
    <row r="13">
      <c r="A13" s="10" t="inlineStr">
        <is>
          <t>N08 EcoStorage</t>
        </is>
      </c>
      <c r="B13" s="11" t="n">
        <v>9.16</v>
      </c>
      <c r="C13" s="11" t="n">
        <v>7.08</v>
      </c>
      <c r="D13" s="11" t="n">
        <v>13.25</v>
      </c>
      <c r="E13" s="11" t="n">
        <v>5.93</v>
      </c>
      <c r="F13" s="11" t="n">
        <v>12.97</v>
      </c>
      <c r="G13" s="11" t="n">
        <v>6.89</v>
      </c>
      <c r="H13" s="11" t="n">
        <v>5.31</v>
      </c>
      <c r="I13" s="11" t="n">
        <v>9</v>
      </c>
      <c r="J13" s="11" t="n">
        <v>0</v>
      </c>
      <c r="K13" s="11" t="n">
        <v>9.460000000000001</v>
      </c>
      <c r="L13" s="11" t="n">
        <v>7.43</v>
      </c>
      <c r="M13" s="11" t="n">
        <v>8.640000000000001</v>
      </c>
      <c r="N13" s="11" t="n">
        <v>9.16</v>
      </c>
      <c r="O13" s="11" t="n">
        <v>10.03</v>
      </c>
      <c r="P13" s="11" t="n">
        <v>9.44</v>
      </c>
      <c r="Q13" s="11" t="n">
        <v>12.03</v>
      </c>
      <c r="R13" s="11" t="n">
        <v>9.779999999999999</v>
      </c>
      <c r="S13" s="11" t="n">
        <v>9.869999999999999</v>
      </c>
      <c r="T13" s="11" t="n">
        <v>9.449999999999999</v>
      </c>
      <c r="U13" s="11" t="n">
        <v>9.81</v>
      </c>
      <c r="V13" s="11" t="n">
        <v>12.5</v>
      </c>
    </row>
    <row r="14">
      <c r="A14" s="10" t="inlineStr">
        <is>
          <t>N09 TMEX</t>
        </is>
      </c>
      <c r="B14" s="11" t="n">
        <v>5.74</v>
      </c>
      <c r="C14" s="11" t="n">
        <v>7</v>
      </c>
      <c r="D14" s="11" t="n">
        <v>5.21</v>
      </c>
      <c r="E14" s="11" t="n">
        <v>7.23</v>
      </c>
      <c r="F14" s="11" t="n">
        <v>6.24</v>
      </c>
      <c r="G14" s="11" t="n">
        <v>12.81</v>
      </c>
      <c r="H14" s="11" t="n">
        <v>10.18</v>
      </c>
      <c r="I14" s="11" t="n">
        <v>10.5</v>
      </c>
      <c r="J14" s="11" t="n">
        <v>9.460000000000001</v>
      </c>
      <c r="K14" s="11" t="n">
        <v>0</v>
      </c>
      <c r="L14" s="11" t="n">
        <v>6.36</v>
      </c>
      <c r="M14" s="11" t="n">
        <v>2.62</v>
      </c>
      <c r="N14" s="11" t="n">
        <v>5.74</v>
      </c>
      <c r="O14" s="11" t="n">
        <v>5.46</v>
      </c>
      <c r="P14" s="11" t="n">
        <v>6.75</v>
      </c>
      <c r="Q14" s="11" t="n">
        <v>4.06</v>
      </c>
      <c r="R14" s="11" t="n">
        <v>4.74</v>
      </c>
      <c r="S14" s="11" t="n">
        <v>2.79</v>
      </c>
      <c r="T14" s="11" t="n">
        <v>4.48</v>
      </c>
      <c r="U14" s="11" t="n">
        <v>3.07</v>
      </c>
      <c r="V14" s="11" t="n">
        <v>9.890000000000001</v>
      </c>
    </row>
    <row r="15">
      <c r="A15" s="10" t="inlineStr">
        <is>
          <t>N10 El Mayorista</t>
        </is>
      </c>
      <c r="B15" s="11" t="n">
        <v>10.53</v>
      </c>
      <c r="C15" s="11" t="n">
        <v>0.76</v>
      </c>
      <c r="D15" s="11" t="n">
        <v>7.1</v>
      </c>
      <c r="E15" s="11" t="n">
        <v>1.74</v>
      </c>
      <c r="F15" s="11" t="n">
        <v>6.11</v>
      </c>
      <c r="G15" s="11" t="n">
        <v>7.17</v>
      </c>
      <c r="H15" s="11" t="n">
        <v>4.77</v>
      </c>
      <c r="I15" s="11" t="n">
        <v>4.14</v>
      </c>
      <c r="J15" s="11" t="n">
        <v>7.43</v>
      </c>
      <c r="K15" s="11" t="n">
        <v>6.36</v>
      </c>
      <c r="L15" s="11" t="n">
        <v>0</v>
      </c>
      <c r="M15" s="11" t="n">
        <v>7.86</v>
      </c>
      <c r="N15" s="11" t="n">
        <v>10.53</v>
      </c>
      <c r="O15" s="11" t="n">
        <v>10.77</v>
      </c>
      <c r="P15" s="11" t="n">
        <v>11.38</v>
      </c>
      <c r="Q15" s="11" t="n">
        <v>6.17</v>
      </c>
      <c r="R15" s="11" t="n">
        <v>10.13</v>
      </c>
      <c r="S15" s="11" t="n">
        <v>8.720000000000001</v>
      </c>
      <c r="T15" s="11" t="n">
        <v>9.77</v>
      </c>
      <c r="U15" s="11" t="n">
        <v>8.91</v>
      </c>
      <c r="V15" s="11" t="n">
        <v>14.92</v>
      </c>
    </row>
    <row r="16">
      <c r="A16" s="10" t="inlineStr">
        <is>
          <t>N11 Avanzar</t>
        </is>
      </c>
      <c r="B16" s="11" t="n">
        <v>3.14</v>
      </c>
      <c r="C16" s="11" t="n">
        <v>8.35</v>
      </c>
      <c r="D16" s="11" t="n">
        <v>7.8</v>
      </c>
      <c r="E16" s="11" t="n">
        <v>8.220000000000001</v>
      </c>
      <c r="F16" s="11" t="n">
        <v>8.84</v>
      </c>
      <c r="G16" s="11" t="n">
        <v>13.33</v>
      </c>
      <c r="H16" s="11" t="n">
        <v>10.73</v>
      </c>
      <c r="I16" s="11" t="n">
        <v>11.92</v>
      </c>
      <c r="J16" s="11" t="n">
        <v>8.640000000000001</v>
      </c>
      <c r="K16" s="11" t="n">
        <v>2.62</v>
      </c>
      <c r="L16" s="11" t="n">
        <v>7.86</v>
      </c>
      <c r="M16" s="11" t="n">
        <v>0</v>
      </c>
      <c r="N16" s="11" t="n">
        <v>3.14</v>
      </c>
      <c r="O16" s="11" t="n">
        <v>3.01</v>
      </c>
      <c r="P16" s="11" t="n">
        <v>4.14</v>
      </c>
      <c r="Q16" s="11" t="n">
        <v>6.67</v>
      </c>
      <c r="R16" s="11" t="n">
        <v>2.33</v>
      </c>
      <c r="S16" s="11" t="n">
        <v>1.23</v>
      </c>
      <c r="T16" s="11" t="n">
        <v>2</v>
      </c>
      <c r="U16" s="11" t="n">
        <v>1.23</v>
      </c>
      <c r="V16" s="11" t="n">
        <v>7.42</v>
      </c>
    </row>
    <row r="17">
      <c r="A17" s="10" t="inlineStr">
        <is>
          <t>N12 WeWork</t>
        </is>
      </c>
      <c r="B17" s="11" t="n">
        <v>0</v>
      </c>
      <c r="C17" s="11" t="n">
        <v>10.91</v>
      </c>
      <c r="D17" s="11" t="n">
        <v>10.84</v>
      </c>
      <c r="E17" s="11" t="n">
        <v>10.54</v>
      </c>
      <c r="F17" s="11" t="n">
        <v>11.98</v>
      </c>
      <c r="G17" s="11" t="n">
        <v>15</v>
      </c>
      <c r="H17" s="11" t="n">
        <v>12.55</v>
      </c>
      <c r="I17" s="11" t="n">
        <v>14.42</v>
      </c>
      <c r="J17" s="11" t="n">
        <v>9.16</v>
      </c>
      <c r="K17" s="11" t="n">
        <v>5.74</v>
      </c>
      <c r="L17" s="11" t="n">
        <v>10.53</v>
      </c>
      <c r="M17" s="11" t="n">
        <v>3.14</v>
      </c>
      <c r="N17" s="11" t="n">
        <v>0</v>
      </c>
      <c r="O17" s="11" t="n">
        <v>1.04</v>
      </c>
      <c r="P17" s="11" t="n">
        <v>1.01</v>
      </c>
      <c r="Q17" s="11" t="n">
        <v>9.77</v>
      </c>
      <c r="R17" s="11" t="n">
        <v>1.37</v>
      </c>
      <c r="S17" s="11" t="n">
        <v>3.29</v>
      </c>
      <c r="T17" s="11" t="n">
        <v>1.4</v>
      </c>
      <c r="U17" s="11" t="n">
        <v>2.97</v>
      </c>
      <c r="V17" s="11" t="n">
        <v>4.41</v>
      </c>
    </row>
    <row r="18">
      <c r="A18" s="10" t="inlineStr">
        <is>
          <t>N13 ETB</t>
        </is>
      </c>
      <c r="B18" s="11" t="n">
        <v>1.04</v>
      </c>
      <c r="C18" s="11" t="n">
        <v>11.2</v>
      </c>
      <c r="D18" s="11" t="n">
        <v>10.39</v>
      </c>
      <c r="E18" s="11" t="n">
        <v>10.93</v>
      </c>
      <c r="F18" s="11" t="n">
        <v>11.65</v>
      </c>
      <c r="G18" s="11" t="n">
        <v>15.64</v>
      </c>
      <c r="H18" s="11" t="n">
        <v>13.13</v>
      </c>
      <c r="I18" s="11" t="n">
        <v>14.75</v>
      </c>
      <c r="J18" s="11" t="n">
        <v>10.03</v>
      </c>
      <c r="K18" s="11" t="n">
        <v>5.46</v>
      </c>
      <c r="L18" s="11" t="n">
        <v>10.77</v>
      </c>
      <c r="M18" s="11" t="n">
        <v>3.01</v>
      </c>
      <c r="N18" s="11" t="n">
        <v>1.04</v>
      </c>
      <c r="O18" s="11" t="n">
        <v>0</v>
      </c>
      <c r="P18" s="11" t="n">
        <v>1.71</v>
      </c>
      <c r="Q18" s="11" t="n">
        <v>9.380000000000001</v>
      </c>
      <c r="R18" s="11" t="n">
        <v>0.71</v>
      </c>
      <c r="S18" s="11" t="n">
        <v>2.77</v>
      </c>
      <c r="T18" s="11" t="n">
        <v>1.02</v>
      </c>
      <c r="U18" s="11" t="n">
        <v>2.44</v>
      </c>
      <c r="V18" s="11" t="n">
        <v>4.44</v>
      </c>
    </row>
    <row r="19">
      <c r="A19" s="10" t="inlineStr">
        <is>
          <t>N14 G&amp;D</t>
        </is>
      </c>
      <c r="B19" s="11" t="n">
        <v>1.01</v>
      </c>
      <c r="C19" s="11" t="n">
        <v>11.73</v>
      </c>
      <c r="D19" s="11" t="n">
        <v>11.84</v>
      </c>
      <c r="E19" s="11" t="n">
        <v>11.29</v>
      </c>
      <c r="F19" s="11" t="n">
        <v>12.98</v>
      </c>
      <c r="G19" s="11" t="n">
        <v>15.54</v>
      </c>
      <c r="H19" s="11" t="n">
        <v>13.15</v>
      </c>
      <c r="I19" s="11" t="n">
        <v>15.2</v>
      </c>
      <c r="J19" s="11" t="n">
        <v>9.44</v>
      </c>
      <c r="K19" s="11" t="n">
        <v>6.75</v>
      </c>
      <c r="L19" s="11" t="n">
        <v>11.38</v>
      </c>
      <c r="M19" s="11" t="n">
        <v>4.14</v>
      </c>
      <c r="N19" s="11" t="n">
        <v>1.01</v>
      </c>
      <c r="O19" s="11" t="n">
        <v>1.71</v>
      </c>
      <c r="P19" s="11" t="n">
        <v>0</v>
      </c>
      <c r="Q19" s="11" t="n">
        <v>10.77</v>
      </c>
      <c r="R19" s="11" t="n">
        <v>2.26</v>
      </c>
      <c r="S19" s="11" t="n">
        <v>4.27</v>
      </c>
      <c r="T19" s="11" t="n">
        <v>2.37</v>
      </c>
      <c r="U19" s="11" t="n">
        <v>3.95</v>
      </c>
      <c r="V19" s="11" t="n">
        <v>3.55</v>
      </c>
    </row>
    <row r="20">
      <c r="A20" s="10" t="inlineStr">
        <is>
          <t>N15 Grafolito</t>
        </is>
      </c>
      <c r="B20" s="11" t="n">
        <v>9.77</v>
      </c>
      <c r="C20" s="11" t="n">
        <v>6.93</v>
      </c>
      <c r="D20" s="11" t="n">
        <v>1.26</v>
      </c>
      <c r="E20" s="11" t="n">
        <v>7.75</v>
      </c>
      <c r="F20" s="11" t="n">
        <v>2.37</v>
      </c>
      <c r="G20" s="11" t="n">
        <v>13.34</v>
      </c>
      <c r="H20" s="11" t="n">
        <v>10.9</v>
      </c>
      <c r="I20" s="11" t="n">
        <v>9.66</v>
      </c>
      <c r="J20" s="11" t="n">
        <v>12.03</v>
      </c>
      <c r="K20" s="11" t="n">
        <v>4.06</v>
      </c>
      <c r="L20" s="11" t="n">
        <v>6.17</v>
      </c>
      <c r="M20" s="11" t="n">
        <v>6.67</v>
      </c>
      <c r="N20" s="11" t="n">
        <v>9.77</v>
      </c>
      <c r="O20" s="11" t="n">
        <v>9.380000000000001</v>
      </c>
      <c r="P20" s="11" t="n">
        <v>10.77</v>
      </c>
      <c r="Q20" s="11" t="n">
        <v>0</v>
      </c>
      <c r="R20" s="11" t="n">
        <v>8.67</v>
      </c>
      <c r="S20" s="11" t="n">
        <v>6.61</v>
      </c>
      <c r="T20" s="11" t="n">
        <v>8.449999999999999</v>
      </c>
      <c r="U20" s="11" t="n">
        <v>6.93</v>
      </c>
      <c r="V20" s="11" t="n">
        <v>13.77</v>
      </c>
    </row>
    <row r="21">
      <c r="A21" s="10" t="inlineStr">
        <is>
          <t>N16 XMS</t>
        </is>
      </c>
      <c r="B21" s="11" t="n">
        <v>1.37</v>
      </c>
      <c r="C21" s="11" t="n">
        <v>10.59</v>
      </c>
      <c r="D21" s="11" t="n">
        <v>9.69</v>
      </c>
      <c r="E21" s="11" t="n">
        <v>10.36</v>
      </c>
      <c r="F21" s="11" t="n">
        <v>10.94</v>
      </c>
      <c r="G21" s="11" t="n">
        <v>15.19</v>
      </c>
      <c r="H21" s="11" t="n">
        <v>12.65</v>
      </c>
      <c r="I21" s="11" t="n">
        <v>14.15</v>
      </c>
      <c r="J21" s="11" t="n">
        <v>9.779999999999999</v>
      </c>
      <c r="K21" s="11" t="n">
        <v>4.74</v>
      </c>
      <c r="L21" s="11" t="n">
        <v>10.13</v>
      </c>
      <c r="M21" s="11" t="n">
        <v>2.33</v>
      </c>
      <c r="N21" s="11" t="n">
        <v>1.37</v>
      </c>
      <c r="O21" s="11" t="n">
        <v>0.71</v>
      </c>
      <c r="P21" s="11" t="n">
        <v>2.26</v>
      </c>
      <c r="Q21" s="11" t="n">
        <v>8.67</v>
      </c>
      <c r="R21" s="11" t="n">
        <v>0</v>
      </c>
      <c r="S21" s="11" t="n">
        <v>2.07</v>
      </c>
      <c r="T21" s="11" t="n">
        <v>0.38</v>
      </c>
      <c r="U21" s="11" t="n">
        <v>1.74</v>
      </c>
      <c r="V21" s="11" t="n">
        <v>5.15</v>
      </c>
    </row>
    <row r="22">
      <c r="A22" s="10" t="inlineStr">
        <is>
          <t>N17 Sophos</t>
        </is>
      </c>
      <c r="B22" s="11" t="n">
        <v>3.29</v>
      </c>
      <c r="C22" s="11" t="n">
        <v>9.27</v>
      </c>
      <c r="D22" s="11" t="n">
        <v>7.62</v>
      </c>
      <c r="E22" s="11" t="n">
        <v>9.24</v>
      </c>
      <c r="F22" s="11" t="n">
        <v>8.91</v>
      </c>
      <c r="G22" s="11" t="n">
        <v>14.48</v>
      </c>
      <c r="H22" s="11" t="n">
        <v>11.86</v>
      </c>
      <c r="I22" s="11" t="n">
        <v>12.84</v>
      </c>
      <c r="J22" s="11" t="n">
        <v>9.869999999999999</v>
      </c>
      <c r="K22" s="11" t="n">
        <v>2.79</v>
      </c>
      <c r="L22" s="11" t="n">
        <v>8.720000000000001</v>
      </c>
      <c r="M22" s="11" t="n">
        <v>1.23</v>
      </c>
      <c r="N22" s="11" t="n">
        <v>3.29</v>
      </c>
      <c r="O22" s="11" t="n">
        <v>2.77</v>
      </c>
      <c r="P22" s="11" t="n">
        <v>4.27</v>
      </c>
      <c r="Q22" s="11" t="n">
        <v>6.61</v>
      </c>
      <c r="R22" s="11" t="n">
        <v>2.07</v>
      </c>
      <c r="S22" s="11" t="n">
        <v>0</v>
      </c>
      <c r="T22" s="11" t="n">
        <v>1.9</v>
      </c>
      <c r="U22" s="11" t="n">
        <v>0.32</v>
      </c>
      <c r="V22" s="11" t="n">
        <v>7.16</v>
      </c>
    </row>
    <row r="23">
      <c r="A23" s="10" t="inlineStr">
        <is>
          <t>N18 Automaxia</t>
        </is>
      </c>
      <c r="B23" s="11" t="n">
        <v>1.4</v>
      </c>
      <c r="C23" s="11" t="n">
        <v>10.22</v>
      </c>
      <c r="D23" s="11" t="n">
        <v>9.49</v>
      </c>
      <c r="E23" s="11" t="n">
        <v>9.99</v>
      </c>
      <c r="F23" s="11" t="n">
        <v>10.7</v>
      </c>
      <c r="G23" s="11" t="n">
        <v>14.81</v>
      </c>
      <c r="H23" s="11" t="n">
        <v>12.28</v>
      </c>
      <c r="I23" s="11" t="n">
        <v>13.78</v>
      </c>
      <c r="J23" s="11" t="n">
        <v>9.449999999999999</v>
      </c>
      <c r="K23" s="11" t="n">
        <v>4.48</v>
      </c>
      <c r="L23" s="11" t="n">
        <v>9.77</v>
      </c>
      <c r="M23" s="11" t="n">
        <v>2</v>
      </c>
      <c r="N23" s="11" t="n">
        <v>1.4</v>
      </c>
      <c r="O23" s="11" t="n">
        <v>1.02</v>
      </c>
      <c r="P23" s="11" t="n">
        <v>2.37</v>
      </c>
      <c r="Q23" s="11" t="n">
        <v>8.449999999999999</v>
      </c>
      <c r="R23" s="11" t="n">
        <v>0.38</v>
      </c>
      <c r="S23" s="11" t="n">
        <v>1.9</v>
      </c>
      <c r="T23" s="11" t="n">
        <v>0</v>
      </c>
      <c r="U23" s="11" t="n">
        <v>1.58</v>
      </c>
      <c r="V23" s="11" t="n">
        <v>5.44</v>
      </c>
    </row>
    <row r="24">
      <c r="A24" s="10" t="inlineStr">
        <is>
          <t>N19 IAC</t>
        </is>
      </c>
      <c r="B24" s="11" t="n">
        <v>2.97</v>
      </c>
      <c r="C24" s="11" t="n">
        <v>9.44</v>
      </c>
      <c r="D24" s="11" t="n">
        <v>7.95</v>
      </c>
      <c r="E24" s="11" t="n">
        <v>9.380000000000001</v>
      </c>
      <c r="F24" s="11" t="n">
        <v>9.220000000000001</v>
      </c>
      <c r="G24" s="11" t="n">
        <v>14.55</v>
      </c>
      <c r="H24" s="11" t="n">
        <v>11.95</v>
      </c>
      <c r="I24" s="11" t="n">
        <v>13.02</v>
      </c>
      <c r="J24" s="11" t="n">
        <v>9.81</v>
      </c>
      <c r="K24" s="11" t="n">
        <v>3.07</v>
      </c>
      <c r="L24" s="11" t="n">
        <v>8.91</v>
      </c>
      <c r="M24" s="11" t="n">
        <v>1.23</v>
      </c>
      <c r="N24" s="11" t="n">
        <v>2.97</v>
      </c>
      <c r="O24" s="11" t="n">
        <v>2.44</v>
      </c>
      <c r="P24" s="11" t="n">
        <v>3.95</v>
      </c>
      <c r="Q24" s="11" t="n">
        <v>6.93</v>
      </c>
      <c r="R24" s="11" t="n">
        <v>1.74</v>
      </c>
      <c r="S24" s="11" t="n">
        <v>0.32</v>
      </c>
      <c r="T24" s="11" t="n">
        <v>1.58</v>
      </c>
      <c r="U24" s="11" t="n">
        <v>0</v>
      </c>
      <c r="V24" s="11" t="n">
        <v>6.85</v>
      </c>
    </row>
    <row r="25">
      <c r="A25" s="10" t="inlineStr">
        <is>
          <t>N20 Automation Anywhere</t>
        </is>
      </c>
      <c r="B25" s="11" t="n">
        <v>4.41</v>
      </c>
      <c r="C25" s="11" t="n">
        <v>15.27</v>
      </c>
      <c r="D25" s="11" t="n">
        <v>14.72</v>
      </c>
      <c r="E25" s="11" t="n">
        <v>14.84</v>
      </c>
      <c r="F25" s="11" t="n">
        <v>16.07</v>
      </c>
      <c r="G25" s="11" t="n">
        <v>18.91</v>
      </c>
      <c r="H25" s="11" t="n">
        <v>16.59</v>
      </c>
      <c r="I25" s="11" t="n">
        <v>18.75</v>
      </c>
      <c r="J25" s="11" t="n">
        <v>12.5</v>
      </c>
      <c r="K25" s="11" t="n">
        <v>9.890000000000001</v>
      </c>
      <c r="L25" s="11" t="n">
        <v>14.92</v>
      </c>
      <c r="M25" s="11" t="n">
        <v>7.42</v>
      </c>
      <c r="N25" s="11" t="n">
        <v>4.41</v>
      </c>
      <c r="O25" s="11" t="n">
        <v>4.44</v>
      </c>
      <c r="P25" s="11" t="n">
        <v>3.55</v>
      </c>
      <c r="Q25" s="11" t="n">
        <v>13.77</v>
      </c>
      <c r="R25" s="11" t="n">
        <v>5.15</v>
      </c>
      <c r="S25" s="11" t="n">
        <v>7.16</v>
      </c>
      <c r="T25" s="11" t="n">
        <v>5.44</v>
      </c>
      <c r="U25" s="11" t="n">
        <v>6.85</v>
      </c>
      <c r="V25" s="11" t="n">
        <v>0</v>
      </c>
    </row>
  </sheetData>
  <conditionalFormatting sqref="B5:V25">
    <cfRule type="colorScale" priority="1">
      <colorScale>
        <cfvo type="min"/>
        <cfvo type="percentile" val="50"/>
        <cfvo type="max"/>
        <color rgb="00D6E8DF"/>
        <color rgb="00F7F4EF"/>
        <color rgb="00C9B79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34" customWidth="1" min="4" max="4"/>
    <col width="13" customWidth="1" min="5" max="5"/>
    <col width="9" customWidth="1" min="6" max="6"/>
    <col width="12" customWidth="1" min="7" max="7"/>
    <col width="14" customWidth="1" min="8" max="8"/>
  </cols>
  <sheetData>
    <row r="1">
      <c r="A1" s="1" t="inlineStr">
        <is>
          <t>Plan de visitas comerciales con ventanas de tiempo</t>
        </is>
      </c>
    </row>
    <row r="2">
      <c r="A2" t="inlineStr">
        <is>
          <t>Heurística del vecino más cercano factible (VRPTW). Velocidad 22 km/h, 45 min por visita, jornada 08:00–17:30. Si se llega antes de que abra el cliente, se espera.</t>
        </is>
      </c>
    </row>
    <row r="4">
      <c r="A4" s="2" t="inlineStr">
        <is>
          <t>Día</t>
        </is>
      </c>
      <c r="B4" s="2" t="inlineStr">
        <is>
          <t>Orden</t>
        </is>
      </c>
      <c r="C4" s="2" t="inlineStr">
        <is>
          <t>ID</t>
        </is>
      </c>
      <c r="D4" s="2" t="inlineStr">
        <is>
          <t>Cliente</t>
        </is>
      </c>
      <c r="E4" s="2" t="inlineStr">
        <is>
          <t>Ventana</t>
        </is>
      </c>
      <c r="F4" s="2" t="inlineStr">
        <is>
          <t>Llegada</t>
        </is>
      </c>
      <c r="G4" s="2" t="inlineStr">
        <is>
          <t>Inicio visita</t>
        </is>
      </c>
      <c r="H4" s="2" t="inlineStr">
        <is>
          <t>Km desde parada anterior</t>
        </is>
      </c>
    </row>
    <row r="5">
      <c r="A5" s="12" t="n">
        <v>1</v>
      </c>
      <c r="B5" s="12" t="n">
        <v>1</v>
      </c>
      <c r="C5" s="12" t="inlineStr">
        <is>
          <t>N09</t>
        </is>
      </c>
      <c r="D5" s="12" t="inlineStr">
        <is>
          <t>TMEX – Tu Mensajero Express</t>
        </is>
      </c>
      <c r="E5" s="12" t="inlineStr">
        <is>
          <t>07:30-17:00</t>
        </is>
      </c>
      <c r="F5" s="12" t="inlineStr">
        <is>
          <t>08:16</t>
        </is>
      </c>
      <c r="G5" s="12" t="inlineStr">
        <is>
          <t>08:16</t>
        </is>
      </c>
      <c r="H5" s="12" t="n">
        <v>5.7</v>
      </c>
    </row>
    <row r="6">
      <c r="A6" s="12" t="n">
        <v>1</v>
      </c>
      <c r="B6" s="12" t="n">
        <v>2</v>
      </c>
      <c r="C6" s="12" t="inlineStr">
        <is>
          <t>N02</t>
        </is>
      </c>
      <c r="D6" s="12" t="inlineStr">
        <is>
          <t>Transportes Vigía S.A.S.</t>
        </is>
      </c>
      <c r="E6" s="12" t="inlineStr">
        <is>
          <t>08:00-17:30</t>
        </is>
      </c>
      <c r="F6" s="12" t="inlineStr">
        <is>
          <t>09:15</t>
        </is>
      </c>
      <c r="G6" s="12" t="inlineStr">
        <is>
          <t>09:15</t>
        </is>
      </c>
      <c r="H6" s="12" t="n">
        <v>5.2</v>
      </c>
    </row>
    <row r="7">
      <c r="A7" s="12" t="n">
        <v>1</v>
      </c>
      <c r="B7" s="12" t="n">
        <v>3</v>
      </c>
      <c r="C7" s="12" t="inlineStr">
        <is>
          <t>N04</t>
        </is>
      </c>
      <c r="D7" s="12" t="inlineStr">
        <is>
          <t>Tecnicargas de Colombia</t>
        </is>
      </c>
      <c r="E7" s="12" t="inlineStr">
        <is>
          <t>08:00-17:00</t>
        </is>
      </c>
      <c r="F7" s="12" t="inlineStr">
        <is>
          <t>10:05</t>
        </is>
      </c>
      <c r="G7" s="12" t="inlineStr">
        <is>
          <t>10:05</t>
        </is>
      </c>
      <c r="H7" s="12" t="n">
        <v>2</v>
      </c>
    </row>
    <row r="8">
      <c r="A8" s="12" t="n">
        <v>1</v>
      </c>
      <c r="B8" s="12" t="n">
        <v>4</v>
      </c>
      <c r="C8" s="12" t="inlineStr">
        <is>
          <t>N10</t>
        </is>
      </c>
      <c r="D8" s="12" t="inlineStr">
        <is>
          <t>Distribuciones El Mayorista</t>
        </is>
      </c>
      <c r="E8" s="12" t="inlineStr">
        <is>
          <t>08:30-19:00</t>
        </is>
      </c>
      <c r="F8" s="12" t="inlineStr">
        <is>
          <t>11:07</t>
        </is>
      </c>
      <c r="G8" s="12" t="inlineStr">
        <is>
          <t>11:07</t>
        </is>
      </c>
      <c r="H8" s="12" t="n">
        <v>6.1</v>
      </c>
    </row>
    <row r="9">
      <c r="A9" s="12" t="n">
        <v>1</v>
      </c>
      <c r="B9" s="12" t="n">
        <v>5</v>
      </c>
      <c r="C9" s="12" t="inlineStr">
        <is>
          <t>N01</t>
        </is>
      </c>
      <c r="D9" s="12" t="inlineStr">
        <is>
          <t>Transportes Sarvi</t>
        </is>
      </c>
      <c r="E9" s="12" t="inlineStr">
        <is>
          <t>08:00-17:30</t>
        </is>
      </c>
      <c r="F9" s="12" t="inlineStr">
        <is>
          <t>11:54</t>
        </is>
      </c>
      <c r="G9" s="12" t="inlineStr">
        <is>
          <t>11:54</t>
        </is>
      </c>
      <c r="H9" s="12" t="n">
        <v>0.8</v>
      </c>
    </row>
    <row r="10">
      <c r="D10" s="13" t="inlineStr">
        <is>
          <t>Regreso a la sede 13:09 · total del día</t>
        </is>
      </c>
      <c r="H10" s="13" t="n">
        <v>30.7</v>
      </c>
    </row>
    <row r="12">
      <c r="A12" s="12" t="n">
        <v>2</v>
      </c>
      <c r="B12" s="12" t="n">
        <v>1</v>
      </c>
      <c r="C12" s="12" t="inlineStr">
        <is>
          <t>N08</t>
        </is>
      </c>
      <c r="D12" s="12" t="inlineStr">
        <is>
          <t>EcoStorage</t>
        </is>
      </c>
      <c r="E12" s="12" t="inlineStr">
        <is>
          <t>08:00-18:00</t>
        </is>
      </c>
      <c r="F12" s="12" t="inlineStr">
        <is>
          <t>08:25</t>
        </is>
      </c>
      <c r="G12" s="12" t="inlineStr">
        <is>
          <t>08:25</t>
        </is>
      </c>
      <c r="H12" s="12" t="n">
        <v>9.199999999999999</v>
      </c>
    </row>
    <row r="13">
      <c r="A13" s="12" t="n">
        <v>2</v>
      </c>
      <c r="B13" s="12" t="n">
        <v>2</v>
      </c>
      <c r="C13" s="12" t="inlineStr">
        <is>
          <t>N06</t>
        </is>
      </c>
      <c r="D13" s="12" t="inlineStr">
        <is>
          <t>Colombiana de Tanques – Coltanques S.A.S.</t>
        </is>
      </c>
      <c r="E13" s="12" t="inlineStr">
        <is>
          <t>07:30-17:30</t>
        </is>
      </c>
      <c r="F13" s="12" t="inlineStr">
        <is>
          <t>09:24</t>
        </is>
      </c>
      <c r="G13" s="12" t="inlineStr">
        <is>
          <t>09:24</t>
        </is>
      </c>
      <c r="H13" s="12" t="n">
        <v>5.3</v>
      </c>
    </row>
    <row r="14">
      <c r="A14" s="12" t="n">
        <v>2</v>
      </c>
      <c r="B14" s="12" t="n">
        <v>3</v>
      </c>
      <c r="C14" s="12" t="inlineStr">
        <is>
          <t>N05</t>
        </is>
      </c>
      <c r="D14" s="12" t="inlineStr">
        <is>
          <t>Blu Logistics Colombia S.A.S.</t>
        </is>
      </c>
      <c r="E14" s="12" t="inlineStr">
        <is>
          <t>08:00-18:00</t>
        </is>
      </c>
      <c r="F14" s="12" t="inlineStr">
        <is>
          <t>10:17</t>
        </is>
      </c>
      <c r="G14" s="12" t="inlineStr">
        <is>
          <t>10:17</t>
        </is>
      </c>
      <c r="H14" s="12" t="n">
        <v>2.6</v>
      </c>
    </row>
    <row r="15">
      <c r="A15" s="12" t="n">
        <v>2</v>
      </c>
      <c r="B15" s="12" t="n">
        <v>4</v>
      </c>
      <c r="C15" s="12" t="inlineStr">
        <is>
          <t>N07</t>
        </is>
      </c>
      <c r="D15" s="12" t="inlineStr">
        <is>
          <t>Transportes PYP</t>
        </is>
      </c>
      <c r="E15" s="12" t="inlineStr">
        <is>
          <t>08:00-17:00</t>
        </is>
      </c>
      <c r="F15" s="12" t="inlineStr">
        <is>
          <t>11:15</t>
        </is>
      </c>
      <c r="G15" s="12" t="inlineStr">
        <is>
          <t>11:15</t>
        </is>
      </c>
      <c r="H15" s="12" t="n">
        <v>4.9</v>
      </c>
    </row>
    <row r="16">
      <c r="A16" s="12" t="n">
        <v>2</v>
      </c>
      <c r="B16" s="12" t="n">
        <v>5</v>
      </c>
      <c r="C16" s="12" t="inlineStr">
        <is>
          <t>N03</t>
        </is>
      </c>
      <c r="D16" s="12" t="inlineStr">
        <is>
          <t>AMIL Cargo Logística</t>
        </is>
      </c>
      <c r="E16" s="12" t="inlineStr">
        <is>
          <t>08:00-17:00</t>
        </is>
      </c>
      <c r="F16" s="12" t="inlineStr">
        <is>
          <t>12:11</t>
        </is>
      </c>
      <c r="G16" s="12" t="inlineStr">
        <is>
          <t>12:11</t>
        </is>
      </c>
      <c r="H16" s="12" t="n">
        <v>3.9</v>
      </c>
    </row>
    <row r="17">
      <c r="D17" s="13" t="inlineStr">
        <is>
          <t>Regreso a la sede 13:25 · total del día</t>
        </is>
      </c>
      <c r="H17" s="13" t="n">
        <v>36.5</v>
      </c>
    </row>
    <row r="19">
      <c r="A19" s="12" t="n">
        <v>3</v>
      </c>
      <c r="B19" s="12" t="n">
        <v>1</v>
      </c>
      <c r="C19" s="12" t="inlineStr">
        <is>
          <t>N11</t>
        </is>
      </c>
      <c r="D19" s="12" t="inlineStr">
        <is>
          <t>Avanzar Logística Integral</t>
        </is>
      </c>
      <c r="E19" s="12" t="inlineStr">
        <is>
          <t>10:00-20:00</t>
        </is>
      </c>
      <c r="F19" s="12" t="inlineStr">
        <is>
          <t>08:09</t>
        </is>
      </c>
      <c r="G19" s="12" t="inlineStr">
        <is>
          <t>10:00</t>
        </is>
      </c>
      <c r="H19" s="12" t="n">
        <v>3.1</v>
      </c>
    </row>
    <row r="20">
      <c r="D20" s="13" t="inlineStr">
        <is>
          <t>Regreso a la sede 10:54 · total del día</t>
        </is>
      </c>
      <c r="H20" s="13" t="n">
        <v>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8" customWidth="1" min="3" max="3"/>
    <col width="14" customWidth="1" min="4" max="4"/>
    <col width="18" customWidth="1" min="5" max="5"/>
    <col width="50" customWidth="1" min="6" max="6"/>
  </cols>
  <sheetData>
    <row r="1">
      <c r="A1" s="1" t="inlineStr">
        <is>
          <t>Estructura de costos mensual de Kiwano (COP, octubre de 2026)</t>
        </is>
      </c>
    </row>
    <row r="2">
      <c r="A2" t="inlineStr">
        <is>
          <t>SAS exonerada de salud, SENA e ICBF (art. 114-1 ET) para salarios &lt; 10 SMMLV. Sin exoneración la carga sería ≈ 51,9 %.</t>
        </is>
      </c>
    </row>
    <row r="4">
      <c r="A4" s="2" t="inlineStr">
        <is>
          <t>Tipo</t>
        </is>
      </c>
      <c r="B4" s="2" t="inlineStr">
        <is>
          <t>Grupo</t>
        </is>
      </c>
      <c r="C4" s="2" t="inlineStr">
        <is>
          <t>Concepto</t>
        </is>
      </c>
      <c r="D4" s="2" t="inlineStr">
        <is>
          <t>Valor base</t>
        </is>
      </c>
      <c r="E4" s="2" t="inlineStr">
        <is>
          <t>Con carga prestacional</t>
        </is>
      </c>
      <c r="F4" s="2" t="inlineStr">
        <is>
          <t>Fuente</t>
        </is>
      </c>
    </row>
    <row r="5">
      <c r="A5" s="12" t="inlineStr">
        <is>
          <t>Fijo</t>
        </is>
      </c>
      <c r="B5" s="12" t="inlineStr">
        <is>
          <t>Sueldos</t>
        </is>
      </c>
      <c r="C5" s="12" t="inlineStr">
        <is>
          <t>2 fundadores (3.000.000 c/u)</t>
        </is>
      </c>
      <c r="D5" s="14" t="n">
        <v>6000000</v>
      </c>
      <c r="E5" s="14" t="n">
        <v>8303999.999999999</v>
      </c>
      <c r="F5" s="12" t="inlineStr">
        <is>
          <t>Supuesto del equipo</t>
        </is>
      </c>
    </row>
    <row r="6">
      <c r="A6" s="12" t="inlineStr">
        <is>
          <t>Fijo</t>
        </is>
      </c>
      <c r="B6" s="12" t="inlineStr">
        <is>
          <t>Sueldos</t>
        </is>
      </c>
      <c r="C6" s="12" t="inlineStr">
        <is>
          <t>Desarrollador junior</t>
        </is>
      </c>
      <c r="D6" s="14" t="n">
        <v>4000000</v>
      </c>
      <c r="E6" s="14" t="n">
        <v>5536000</v>
      </c>
      <c r="F6" s="12" t="inlineStr">
        <is>
          <t>https://jobrise.io/es/blog/salario-backend-developer-bogota-2026/</t>
        </is>
      </c>
    </row>
    <row r="7">
      <c r="A7" s="12" t="inlineStr">
        <is>
          <t>Fijo</t>
        </is>
      </c>
      <c r="B7" s="12" t="inlineStr">
        <is>
          <t>Sueldos</t>
        </is>
      </c>
      <c r="C7" s="12" t="inlineStr">
        <is>
          <t>Comercial de campo (SMMLV 2026)</t>
        </is>
      </c>
      <c r="D7" s="14" t="n">
        <v>1750905</v>
      </c>
      <c r="E7" s="14" t="n">
        <v>2423252.52</v>
      </c>
      <c r="F7" s="12" t="inlineStr">
        <is>
          <t>https://consultorsalud.com/aumento-del-salario-minimo-en-colombia-2026/</t>
        </is>
      </c>
    </row>
    <row r="8">
      <c r="A8" s="12" t="inlineStr">
        <is>
          <t>Fijo</t>
        </is>
      </c>
      <c r="B8" s="12" t="inlineStr">
        <is>
          <t>Sueldos</t>
        </is>
      </c>
      <c r="C8" s="12" t="inlineStr">
        <is>
          <t>Auxilio de transporte del comercial</t>
        </is>
      </c>
      <c r="D8" s="14" t="n">
        <v>249095</v>
      </c>
      <c r="E8" s="14" t="n">
        <v>249095</v>
      </c>
      <c r="F8" s="12" t="inlineStr">
        <is>
          <t>https://consultorsalud.com/aumento-del-salario-minimo-en-colombia-2026/</t>
        </is>
      </c>
    </row>
    <row r="9">
      <c r="A9" s="12" t="inlineStr">
        <is>
          <t>Fijo</t>
        </is>
      </c>
      <c r="B9" s="12" t="inlineStr">
        <is>
          <t>Arriendo</t>
        </is>
      </c>
      <c r="C9" s="12" t="inlineStr">
        <is>
          <t>4 puestos en WeWork Calle 93 (≈ USD 141 c/u; incluye internet, servicios públicos y salas)</t>
        </is>
      </c>
      <c r="D9" s="14" t="n">
        <v>1868441</v>
      </c>
      <c r="E9" s="14" t="n">
        <v>1868441</v>
      </c>
      <c r="F9" s="12" t="inlineStr">
        <is>
          <t>https://www.wework.com/es-LA/buildings/calle-93-19-55--bogota</t>
        </is>
      </c>
    </row>
    <row r="10">
      <c r="A10" s="12" t="inlineStr">
        <is>
          <t>Fijo</t>
        </is>
      </c>
      <c r="B10" s="12" t="inlineStr">
        <is>
          <t>Servicios</t>
        </is>
      </c>
      <c r="C10" s="12" t="inlineStr">
        <is>
          <t>4 líneas móviles pospago (ETB)</t>
        </is>
      </c>
      <c r="D10" s="14" t="n">
        <v>160000</v>
      </c>
      <c r="E10" s="14" t="n">
        <v>160000</v>
      </c>
      <c r="F10" s="12" t="inlineStr">
        <is>
          <t>https://cuantomecuesta.com/co/plan-celular/</t>
        </is>
      </c>
    </row>
    <row r="11">
      <c r="A11" s="12" t="inlineStr">
        <is>
          <t>Fijo</t>
        </is>
      </c>
      <c r="B11" s="12" t="inlineStr">
        <is>
          <t>Servicios</t>
        </is>
      </c>
      <c r="C11" s="12" t="inlineStr">
        <is>
          <t>Contabilidad y nómina tercerizada (G&amp;D Consulting)</t>
        </is>
      </c>
      <c r="D11" s="14" t="n">
        <v>1000000</v>
      </c>
      <c r="E11" s="14" t="n">
        <v>1000000</v>
      </c>
      <c r="F11" s="12" t="inlineStr">
        <is>
          <t>https://cuantomecuesta.com/co/contador/</t>
        </is>
      </c>
    </row>
    <row r="12">
      <c r="A12" s="12" t="inlineStr">
        <is>
          <t>Fijo</t>
        </is>
      </c>
      <c r="B12" s="12" t="inlineStr">
        <is>
          <t>Tecnología</t>
        </is>
      </c>
      <c r="C12" s="12" t="inlineStr">
        <is>
          <t>Google Workspace (4) y GitHub Team (2)</t>
        </is>
      </c>
      <c r="D12" s="14" t="n">
        <v>212100</v>
      </c>
      <c r="E12" s="14" t="n">
        <v>212100</v>
      </c>
      <c r="F12" s="12" t="inlineStr">
        <is>
          <t>https://www.eesel.ai/es/blog/google-workspace-pricing</t>
        </is>
      </c>
    </row>
    <row r="13">
      <c r="A13" s="12" t="inlineStr">
        <is>
          <t>Fijo</t>
        </is>
      </c>
      <c r="B13" s="12" t="inlineStr">
        <is>
          <t>Tecnología</t>
        </is>
      </c>
      <c r="C13" s="12" t="inlineStr">
        <is>
          <t>Infraestructura base en la nube vía partner XMS (servidor, base de datos; precio de referencia)</t>
        </is>
      </c>
      <c r="D13" s="14" t="n">
        <v>150000</v>
      </c>
      <c r="E13" s="14" t="n">
        <v>150000</v>
      </c>
      <c r="F13" s="12" t="inlineStr">
        <is>
          <t>https://cloudchipr.com/blog/aws-lightsail</t>
        </is>
      </c>
    </row>
    <row r="14">
      <c r="A14" s="12" t="inlineStr">
        <is>
          <t>Fijo</t>
        </is>
      </c>
      <c r="B14" s="12" t="inlineStr">
        <is>
          <t>Impuestos</t>
        </is>
      </c>
      <c r="C14" s="12" t="inlineStr">
        <is>
          <t>Matrícula mercantil (278.531 al año, prorrateada)</t>
        </is>
      </c>
      <c r="D14" s="14" t="n">
        <v>23211</v>
      </c>
      <c r="E14" s="14" t="n">
        <v>23211</v>
      </c>
      <c r="F14" s="12" t="inlineStr">
        <is>
          <t>https://siemprealdia.co/colombia/contabilidad/renovacion-de-la-matricula-mercantil/</t>
        </is>
      </c>
    </row>
    <row r="15">
      <c r="C15" s="13" t="inlineStr">
        <is>
          <t>Total costos fijos</t>
        </is>
      </c>
      <c r="E15" s="15" t="n">
        <v>19926099.52</v>
      </c>
    </row>
    <row r="17">
      <c r="A17" s="12" t="inlineStr">
        <is>
          <t>Variable por cliente</t>
        </is>
      </c>
      <c r="B17" s="12" t="inlineStr">
        <is>
          <t>Cliente</t>
        </is>
      </c>
      <c r="C17" s="12" t="inlineStr">
        <is>
          <t>Modelos de IA y hosting por cliente (≈ 1.000 conversaciones/mes)</t>
        </is>
      </c>
      <c r="D17" s="14" t="n">
        <v>60000</v>
      </c>
      <c r="E17" s="14" t="n">
        <v>60000</v>
      </c>
      <c r="F17" s="12" t="inlineStr">
        <is>
          <t>https://claude.com/pricing</t>
        </is>
      </c>
    </row>
    <row r="18">
      <c r="A18" s="12" t="inlineStr">
        <is>
          <t>Variable por cliente</t>
        </is>
      </c>
      <c r="B18" s="12" t="inlineStr">
        <is>
          <t>Cliente</t>
        </is>
      </c>
      <c r="C18" s="12" t="inlineStr">
        <is>
          <t>Comisión del comercial (8.00 % del precio)</t>
        </is>
      </c>
      <c r="D18" s="14" t="n">
        <v>96000</v>
      </c>
      <c r="E18" s="14" t="n">
        <v>96000</v>
      </c>
      <c r="F18" s="12" t="inlineStr">
        <is>
          <t>https://blog.getcompass.ai/es/sales-commission-rates-by-industry</t>
        </is>
      </c>
    </row>
    <row r="19">
      <c r="A19" s="12" t="inlineStr">
        <is>
          <t>Variable por cliente</t>
        </is>
      </c>
      <c r="B19" s="12" t="inlineStr">
        <is>
          <t>Cliente</t>
        </is>
      </c>
      <c r="C19" s="12" t="inlineStr">
        <is>
          <t>Impuesto Régimen SIMPLE (servicios, incluye ICA) (5.90 % del precio)</t>
        </is>
      </c>
      <c r="D19" s="14" t="n">
        <v>70800</v>
      </c>
      <c r="E19" s="14" t="n">
        <v>70800</v>
      </c>
      <c r="F19" s="12" t="inlineStr">
        <is>
          <t>https://actualicese.com/corte-constitucional-declaro-inexequibles-normas-sobre-el-regimen-simple-de-tributacion/</t>
        </is>
      </c>
    </row>
    <row r="20">
      <c r="A20" s="12" t="inlineStr">
        <is>
          <t>Variable por cliente</t>
        </is>
      </c>
      <c r="B20" s="12" t="inlineStr">
        <is>
          <t>Cliente</t>
        </is>
      </c>
      <c r="C20" s="12" t="inlineStr">
        <is>
          <t>Pasarela de pago (Wompi 2,65 % + 700 + IVA) (3.22 % del precio)</t>
        </is>
      </c>
      <c r="D20" s="14" t="n">
        <v>38640</v>
      </c>
      <c r="E20" s="14" t="n">
        <v>38640</v>
      </c>
      <c r="F20" s="12" t="inlineStr">
        <is>
          <t>https://www.bancolombia.com/negocios/productos/recaudos/datafono</t>
        </is>
      </c>
    </row>
    <row r="21">
      <c r="A21" s="12" t="inlineStr">
        <is>
          <t>Variable por campaña</t>
        </is>
      </c>
      <c r="B21" s="12" t="inlineStr">
        <is>
          <t>Promoción</t>
        </is>
      </c>
      <c r="C21" s="12" t="inlineStr">
        <is>
          <t>Pauta en Meta e Instagram</t>
        </is>
      </c>
      <c r="D21" s="14" t="n">
        <v>800000</v>
      </c>
      <c r="E21" s="14" t="n">
        <v>800000</v>
      </c>
      <c r="F21" s="12" t="inlineStr">
        <is>
          <t>https://www.adamigo.ai/blog/meta-ads-cpm-cpc-benchmarks-by-country-2026</t>
        </is>
      </c>
    </row>
    <row r="22">
      <c r="A22" s="12" t="inlineStr">
        <is>
          <t>Variable por campaña</t>
        </is>
      </c>
      <c r="B22" s="12" t="inlineStr">
        <is>
          <t>Promoción</t>
        </is>
      </c>
      <c r="C22" s="12" t="inlineStr">
        <is>
          <t>1.000 volantes para puerta a puerta (Grafolito, cotización estimada)</t>
        </is>
      </c>
      <c r="D22" s="14" t="n">
        <v>300000</v>
      </c>
      <c r="E22" s="14" t="n">
        <v>300000</v>
      </c>
      <c r="F22" s="12" t="inlineStr">
        <is>
          <t>https://operaciones.colombiacompra.gov.co/tienda-virtual-del-estado-colombiano/ordenes-compra/109903</t>
        </is>
      </c>
    </row>
    <row r="23">
      <c r="A23" s="12" t="inlineStr">
        <is>
          <t>Variable por campaña</t>
        </is>
      </c>
      <c r="B23" s="12" t="inlineStr">
        <is>
          <t>Promoción</t>
        </is>
      </c>
      <c r="C23" s="12" t="inlineStr">
        <is>
          <t>Gasolina de la moto del comercial (16.377 por galón, 90 km/galón) · 294 km/mes</t>
        </is>
      </c>
      <c r="D23" s="14" t="n">
        <v>54374.05738079978</v>
      </c>
      <c r="E23" s="14" t="n">
        <v>54374.05738079978</v>
      </c>
      <c r="F23" s="12" t="inlineStr">
        <is>
          <t>https://newsroom.rcnradio.com/colombia/precio-de-la-gasolina-sube-en-octubre-de-2026-este-sera-su-nuevo-valor</t>
        </is>
      </c>
    </row>
    <row r="25">
      <c r="C25" s="13" t="inlineStr">
        <is>
          <t>Precio plan Agente (mensual)</t>
        </is>
      </c>
      <c r="E25" s="16" t="n">
        <v>1200000</v>
      </c>
    </row>
    <row r="26">
      <c r="C26" s="13" t="inlineStr">
        <is>
          <t>Costo variable por cliente</t>
        </is>
      </c>
      <c r="E26" s="16" t="n">
        <v>265440</v>
      </c>
    </row>
    <row r="27">
      <c r="C27" s="13" t="inlineStr">
        <is>
          <t>Margen de contribución por cliente</t>
        </is>
      </c>
      <c r="E27" s="16" t="n">
        <v>934560</v>
      </c>
    </row>
    <row r="28">
      <c r="C28" s="13" t="inlineStr">
        <is>
          <t>Fijos + campaña del mes</t>
        </is>
      </c>
      <c r="E28" s="16" t="n">
        <v>21080473.5773808</v>
      </c>
    </row>
    <row r="29">
      <c r="C29" s="13" t="inlineStr">
        <is>
          <t>Punto de equilibrio (clientes plan Agente)</t>
        </is>
      </c>
      <c r="E29" s="9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70" customWidth="1" min="4" max="4"/>
  </cols>
  <sheetData>
    <row r="1">
      <c r="A1" s="1" t="inlineStr">
        <is>
          <t>Planes de precio</t>
        </is>
      </c>
    </row>
    <row r="3">
      <c r="A3" s="2" t="inlineStr">
        <is>
          <t>Plan</t>
        </is>
      </c>
      <c r="B3" s="2" t="inlineStr">
        <is>
          <t>Precio</t>
        </is>
      </c>
      <c r="C3" s="2" t="inlineStr">
        <is>
          <t>Unidad</t>
        </is>
      </c>
      <c r="D3" s="2" t="inlineStr">
        <is>
          <t>Incluye</t>
        </is>
      </c>
    </row>
    <row r="4">
      <c r="A4" s="12" t="inlineStr">
        <is>
          <t>Diagnóstico</t>
        </is>
      </c>
      <c r="B4" s="14" t="n">
        <v>0</v>
      </c>
      <c r="C4" s="12" t="inlineStr">
        <is>
          <t>una visita</t>
        </is>
      </c>
      <c r="D4" s="12" t="inlineStr">
        <is>
          <t>30 min en la empresa.</t>
        </is>
      </c>
    </row>
    <row r="5">
      <c r="A5" s="12" t="inlineStr">
        <is>
          <t>Piloto</t>
        </is>
      </c>
      <c r="B5" s="14" t="n">
        <v>2500000</v>
      </c>
      <c r="C5" s="12" t="inlineStr">
        <is>
          <t>pago único</t>
        </is>
      </c>
      <c r="D5" s="12" t="inlineStr">
        <is>
          <t>Un proceso, 6 semanas.</t>
        </is>
      </c>
    </row>
    <row r="6">
      <c r="A6" s="12" t="inlineStr">
        <is>
          <t>Agente</t>
        </is>
      </c>
      <c r="B6" s="14" t="n">
        <v>1200000</v>
      </c>
      <c r="C6" s="12" t="inlineStr">
        <is>
          <t>al mes</t>
        </is>
      </c>
      <c r="D6" s="12" t="inlineStr">
        <is>
          <t>Un agente en producción.</t>
        </is>
      </c>
    </row>
    <row r="7">
      <c r="A7" s="12" t="inlineStr">
        <is>
          <t>Operación</t>
        </is>
      </c>
      <c r="B7" s="14" t="n">
        <v>3000000</v>
      </c>
      <c r="C7" s="12" t="inlineStr">
        <is>
          <t>al mes</t>
        </is>
      </c>
      <c r="D7" s="12" t="inlineStr">
        <is>
          <t>Hasta 3 agentes y tablero.</t>
        </is>
      </c>
    </row>
    <row r="9">
      <c r="A9" s="1" t="inlineStr">
        <is>
          <t>Prompt usado para generar el gráfico de la red con Claude</t>
        </is>
      </c>
    </row>
    <row r="10">
      <c r="A10" s="17" t="inlineStr">
        <is>
          <t>Con la base de datos de 20 nodos (tipo y coordenadas), ubica cada empresa en el mapa de Bogotá con un color por tipo, calcula la distancia entre todos los nodos y arma la ruta de visitas respetando las ventanas de tiempo.</t>
        </is>
      </c>
    </row>
    <row r="11"/>
    <row r="12"/>
    <row r="13"/>
  </sheetData>
  <mergeCells count="1">
    <mergeCell ref="A10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60" customWidth="1" min="3" max="3"/>
  </cols>
  <sheetData>
    <row r="1">
      <c r="A1" s="1" t="inlineStr">
        <is>
          <t>P-medianas: ubicación del punto de atención</t>
        </is>
      </c>
    </row>
    <row r="2">
      <c r="A2" t="inlineStr">
        <is>
          <t>Minimiza la suma de distancias de cada cliente a su sitio más cercano. Candidatos: los 21 nodos; solución exacta por enumeración.</t>
        </is>
      </c>
    </row>
    <row r="4">
      <c r="A4" s="2" t="inlineStr">
        <is>
          <t>Escenario</t>
        </is>
      </c>
      <c r="B4" s="2" t="inlineStr">
        <is>
          <t>Suma de distancias (km)</t>
        </is>
      </c>
      <c r="C4" s="2" t="inlineStr">
        <is>
          <t>Ubicación</t>
        </is>
      </c>
    </row>
    <row r="5">
      <c r="A5" s="12" t="inlineStr">
        <is>
          <t>Sede actual (WeWork Calle 93)</t>
        </is>
      </c>
      <c r="B5" s="12" t="n">
        <v>114.8</v>
      </c>
      <c r="C5" s="12" t="inlineStr">
        <is>
          <t>N00 Kiwano (Chapinero – Parque 93)</t>
        </is>
      </c>
    </row>
    <row r="6">
      <c r="A6" s="12" t="inlineStr">
        <is>
          <t>p = 1</t>
        </is>
      </c>
      <c r="B6" s="12" t="n">
        <v>53</v>
      </c>
      <c r="C6" s="12" t="inlineStr">
        <is>
          <t>N01 Sarvi (Fontibón – Montevideo)</t>
        </is>
      </c>
    </row>
    <row r="7">
      <c r="A7" s="12" t="inlineStr">
        <is>
          <t>p = 2</t>
        </is>
      </c>
      <c r="B7" s="12" t="n">
        <v>35.7</v>
      </c>
      <c r="C7" s="12" t="inlineStr">
        <is>
          <t>N03 AMIL Cargo (Fontibón – Montevideo) + N09 TMEX (Teusaquillo – Galerías)</t>
        </is>
      </c>
    </row>
    <row r="9">
      <c r="A9" s="9" t="inlineStr">
        <is>
          <t>Asignación con p = 1</t>
        </is>
      </c>
    </row>
    <row r="10">
      <c r="A10" s="2" t="inlineStr">
        <is>
          <t>Cliente</t>
        </is>
      </c>
      <c r="B10" s="2" t="inlineStr">
        <is>
          <t>Sitio asignado</t>
        </is>
      </c>
      <c r="C10" s="2" t="inlineStr">
        <is>
          <t>Km</t>
        </is>
      </c>
    </row>
    <row r="11">
      <c r="A11" s="12" t="inlineStr">
        <is>
          <t>Sarvi</t>
        </is>
      </c>
      <c r="B11" s="12" t="inlineStr">
        <is>
          <t>Sarvi</t>
        </is>
      </c>
      <c r="C11" s="12" t="n">
        <v>0</v>
      </c>
    </row>
    <row r="12">
      <c r="A12" s="12" t="inlineStr">
        <is>
          <t>Vigía</t>
        </is>
      </c>
      <c r="B12" s="12" t="inlineStr">
        <is>
          <t>Sarvi</t>
        </is>
      </c>
      <c r="C12" s="12" t="n">
        <v>7.9</v>
      </c>
    </row>
    <row r="13">
      <c r="A13" s="12" t="inlineStr">
        <is>
          <t>AMIL Cargo</t>
        </is>
      </c>
      <c r="B13" s="12" t="inlineStr">
        <is>
          <t>Sarvi</t>
        </is>
      </c>
      <c r="C13" s="12" t="n">
        <v>1.2</v>
      </c>
    </row>
    <row r="14">
      <c r="A14" s="12" t="inlineStr">
        <is>
          <t>Tecnicargas</t>
        </is>
      </c>
      <c r="B14" s="12" t="inlineStr">
        <is>
          <t>Sarvi</t>
        </is>
      </c>
      <c r="C14" s="12" t="n">
        <v>6.8</v>
      </c>
    </row>
    <row r="15">
      <c r="A15" s="12" t="inlineStr">
        <is>
          <t>Blu Logistics</t>
        </is>
      </c>
      <c r="B15" s="12" t="inlineStr">
        <is>
          <t>Sarvi</t>
        </is>
      </c>
      <c r="C15" s="12" t="n">
        <v>6.4</v>
      </c>
    </row>
    <row r="16">
      <c r="A16" s="12" t="inlineStr">
        <is>
          <t>Coltanques</t>
        </is>
      </c>
      <c r="B16" s="12" t="inlineStr">
        <is>
          <t>Sarvi</t>
        </is>
      </c>
      <c r="C16" s="12" t="n">
        <v>4</v>
      </c>
    </row>
    <row r="17">
      <c r="A17" s="12" t="inlineStr">
        <is>
          <t>PYP</t>
        </is>
      </c>
      <c r="B17" s="12" t="inlineStr">
        <is>
          <t>Sarvi</t>
        </is>
      </c>
      <c r="C17" s="12" t="n">
        <v>3.6</v>
      </c>
    </row>
    <row r="18">
      <c r="A18" s="12" t="inlineStr">
        <is>
          <t>EcoStorage</t>
        </is>
      </c>
      <c r="B18" s="12" t="inlineStr">
        <is>
          <t>Sarvi</t>
        </is>
      </c>
      <c r="C18" s="12" t="n">
        <v>7.1</v>
      </c>
    </row>
    <row r="19">
      <c r="A19" s="12" t="inlineStr">
        <is>
          <t>TMEX</t>
        </is>
      </c>
      <c r="B19" s="12" t="inlineStr">
        <is>
          <t>Sarvi</t>
        </is>
      </c>
      <c r="C19" s="12" t="n">
        <v>7</v>
      </c>
    </row>
    <row r="20">
      <c r="A20" s="12" t="inlineStr">
        <is>
          <t>El Mayorista</t>
        </is>
      </c>
      <c r="B20" s="12" t="inlineStr">
        <is>
          <t>Sarvi</t>
        </is>
      </c>
      <c r="C20" s="12" t="n">
        <v>0.8</v>
      </c>
    </row>
    <row r="21">
      <c r="A21" s="12" t="inlineStr">
        <is>
          <t>Avanzar</t>
        </is>
      </c>
      <c r="B21" s="12" t="inlineStr">
        <is>
          <t>Sarvi</t>
        </is>
      </c>
      <c r="C21" s="12" t="n">
        <v>8.4</v>
      </c>
    </row>
    <row r="23">
      <c r="A23" s="9" t="inlineStr">
        <is>
          <t>Asignación con p = 2</t>
        </is>
      </c>
    </row>
    <row r="24">
      <c r="A24" s="2" t="inlineStr">
        <is>
          <t>Cliente</t>
        </is>
      </c>
      <c r="B24" s="2" t="inlineStr">
        <is>
          <t>Sitio asignado</t>
        </is>
      </c>
      <c r="C24" s="2" t="inlineStr">
        <is>
          <t>Km</t>
        </is>
      </c>
    </row>
    <row r="25">
      <c r="A25" s="12" t="inlineStr">
        <is>
          <t>Sarvi</t>
        </is>
      </c>
      <c r="B25" s="12" t="inlineStr">
        <is>
          <t>AMIL Cargo</t>
        </is>
      </c>
      <c r="C25" s="12" t="n">
        <v>1.2</v>
      </c>
    </row>
    <row r="26">
      <c r="A26" s="12" t="inlineStr">
        <is>
          <t>Vigía</t>
        </is>
      </c>
      <c r="B26" s="12" t="inlineStr">
        <is>
          <t>TMEX</t>
        </is>
      </c>
      <c r="C26" s="12" t="n">
        <v>5.2</v>
      </c>
    </row>
    <row r="27">
      <c r="A27" s="12" t="inlineStr">
        <is>
          <t>AMIL Cargo</t>
        </is>
      </c>
      <c r="B27" s="12" t="inlineStr">
        <is>
          <t>AMIL Cargo</t>
        </is>
      </c>
      <c r="C27" s="12" t="n">
        <v>0</v>
      </c>
    </row>
    <row r="28">
      <c r="A28" s="12" t="inlineStr">
        <is>
          <t>Tecnicargas</t>
        </is>
      </c>
      <c r="B28" s="12" t="inlineStr">
        <is>
          <t>TMEX</t>
        </is>
      </c>
      <c r="C28" s="12" t="n">
        <v>6.2</v>
      </c>
    </row>
    <row r="29">
      <c r="A29" s="12" t="inlineStr">
        <is>
          <t>Blu Logistics</t>
        </is>
      </c>
      <c r="B29" s="12" t="inlineStr">
        <is>
          <t>AMIL Cargo</t>
        </is>
      </c>
      <c r="C29" s="12" t="n">
        <v>5.7</v>
      </c>
    </row>
    <row r="30">
      <c r="A30" s="12" t="inlineStr">
        <is>
          <t>Coltanques</t>
        </is>
      </c>
      <c r="B30" s="12" t="inlineStr">
        <is>
          <t>AMIL Cargo</t>
        </is>
      </c>
      <c r="C30" s="12" t="n">
        <v>3.2</v>
      </c>
    </row>
    <row r="31">
      <c r="A31" s="12" t="inlineStr">
        <is>
          <t>PYP</t>
        </is>
      </c>
      <c r="B31" s="12" t="inlineStr">
        <is>
          <t>AMIL Cargo</t>
        </is>
      </c>
      <c r="C31" s="12" t="n">
        <v>3.9</v>
      </c>
    </row>
    <row r="32">
      <c r="A32" s="12" t="inlineStr">
        <is>
          <t>EcoStorage</t>
        </is>
      </c>
      <c r="B32" s="12" t="inlineStr">
        <is>
          <t>AMIL Cargo</t>
        </is>
      </c>
      <c r="C32" s="12" t="n">
        <v>5.9</v>
      </c>
    </row>
    <row r="33">
      <c r="A33" s="12" t="inlineStr">
        <is>
          <t>TMEX</t>
        </is>
      </c>
      <c r="B33" s="12" t="inlineStr">
        <is>
          <t>TMEX</t>
        </is>
      </c>
      <c r="C33" s="12" t="n">
        <v>0</v>
      </c>
    </row>
    <row r="34">
      <c r="A34" s="12" t="inlineStr">
        <is>
          <t>El Mayorista</t>
        </is>
      </c>
      <c r="B34" s="12" t="inlineStr">
        <is>
          <t>AMIL Cargo</t>
        </is>
      </c>
      <c r="C34" s="12" t="n">
        <v>1.7</v>
      </c>
    </row>
    <row r="35">
      <c r="A35" s="12" t="inlineStr">
        <is>
          <t>Avanzar</t>
        </is>
      </c>
      <c r="B35" s="12" t="inlineStr">
        <is>
          <t>TMEX</t>
        </is>
      </c>
      <c r="C35" s="12" t="n">
        <v>2.6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22" customWidth="1" min="7" max="7"/>
  </cols>
  <sheetData>
    <row r="1">
      <c r="A1" s="1" t="inlineStr">
        <is>
          <t>Modelo de transporte: 3 puntos de despacho, 4 clientes</t>
        </is>
      </c>
    </row>
    <row r="2">
      <c r="A2" t="inlineStr">
        <is>
          <t>Celda = cantidad asignada (costo unitario entre paréntesis). Vogel coincide con el óptimo (verificado con MODI).</t>
        </is>
      </c>
    </row>
    <row r="4">
      <c r="A4" s="9" t="inlineStr">
        <is>
          <t>Esquina noroeste</t>
        </is>
      </c>
      <c r="G4" s="13" t="inlineStr">
        <is>
          <t>Costo total: 552</t>
        </is>
      </c>
    </row>
    <row r="5">
      <c r="A5" s="2" t="inlineStr"/>
      <c r="B5" s="2" t="inlineStr">
        <is>
          <t>AMIL Cargo</t>
        </is>
      </c>
      <c r="C5" s="2" t="inlineStr">
        <is>
          <t>El Mayorista</t>
        </is>
      </c>
      <c r="D5" s="2" t="inlineStr">
        <is>
          <t>TMEX</t>
        </is>
      </c>
      <c r="E5" s="2" t="inlineStr">
        <is>
          <t>Blu Logistics</t>
        </is>
      </c>
      <c r="F5" s="2" t="inlineStr">
        <is>
          <t>Oferta</t>
        </is>
      </c>
    </row>
    <row r="6">
      <c r="A6" s="13" t="inlineStr">
        <is>
          <t>Claude Haiku</t>
        </is>
      </c>
      <c r="B6" s="18" t="inlineStr">
        <is>
          <t>6 (18)</t>
        </is>
      </c>
      <c r="C6" s="18" t="inlineStr">
        <is>
          <t>4 (20)</t>
        </is>
      </c>
      <c r="D6" s="19" t="inlineStr">
        <is>
          <t>– (15)</t>
        </is>
      </c>
      <c r="E6" s="19" t="inlineStr">
        <is>
          <t>– (60)</t>
        </is>
      </c>
      <c r="F6" t="n">
        <v>10</v>
      </c>
    </row>
    <row r="7">
      <c r="A7" s="13" t="inlineStr">
        <is>
          <t>Claude Sonnet</t>
        </is>
      </c>
      <c r="B7" s="19" t="inlineStr">
        <is>
          <t>– (36)</t>
        </is>
      </c>
      <c r="C7" s="19" t="inlineStr">
        <is>
          <t>– (38)</t>
        </is>
      </c>
      <c r="D7" s="18" t="inlineStr">
        <is>
          <t>6 (34)</t>
        </is>
      </c>
      <c r="E7" s="19" t="inlineStr">
        <is>
          <t>– (45)</t>
        </is>
      </c>
      <c r="F7" t="n">
        <v>6</v>
      </c>
    </row>
    <row r="8">
      <c r="A8" s="13" t="inlineStr">
        <is>
          <t>Azure (XMS)</t>
        </is>
      </c>
      <c r="B8" s="19" t="inlineStr">
        <is>
          <t>– (22)</t>
        </is>
      </c>
      <c r="C8" s="19" t="inlineStr">
        <is>
          <t>– (19)</t>
        </is>
      </c>
      <c r="D8" s="18" t="inlineStr">
        <is>
          <t>2 (25)</t>
        </is>
      </c>
      <c r="E8" s="18" t="inlineStr">
        <is>
          <t>2 (55)</t>
        </is>
      </c>
      <c r="F8" t="n">
        <v>4</v>
      </c>
    </row>
    <row r="9">
      <c r="A9" s="13" t="inlineStr">
        <is>
          <t>Demanda</t>
        </is>
      </c>
      <c r="B9" t="n">
        <v>6</v>
      </c>
      <c r="C9" t="n">
        <v>4</v>
      </c>
      <c r="D9" t="n">
        <v>8</v>
      </c>
      <c r="E9" t="n">
        <v>2</v>
      </c>
    </row>
    <row r="12">
      <c r="A12" s="9" t="inlineStr">
        <is>
          <t>Costo mínimo</t>
        </is>
      </c>
      <c r="G12" s="13" t="inlineStr">
        <is>
          <t>Costo total: 466</t>
        </is>
      </c>
    </row>
    <row r="13">
      <c r="A13" s="2" t="inlineStr"/>
      <c r="B13" s="2" t="inlineStr">
        <is>
          <t>AMIL Cargo</t>
        </is>
      </c>
      <c r="C13" s="2" t="inlineStr">
        <is>
          <t>El Mayorista</t>
        </is>
      </c>
      <c r="D13" s="2" t="inlineStr">
        <is>
          <t>TMEX</t>
        </is>
      </c>
      <c r="E13" s="2" t="inlineStr">
        <is>
          <t>Blu Logistics</t>
        </is>
      </c>
      <c r="F13" s="2" t="inlineStr">
        <is>
          <t>Oferta</t>
        </is>
      </c>
    </row>
    <row r="14">
      <c r="A14" s="13" t="inlineStr">
        <is>
          <t>Claude Haiku</t>
        </is>
      </c>
      <c r="B14" s="18" t="inlineStr">
        <is>
          <t>2 (18)</t>
        </is>
      </c>
      <c r="C14" s="19" t="inlineStr">
        <is>
          <t>– (20)</t>
        </is>
      </c>
      <c r="D14" s="18" t="inlineStr">
        <is>
          <t>8 (15)</t>
        </is>
      </c>
      <c r="E14" s="19" t="inlineStr">
        <is>
          <t>– (60)</t>
        </is>
      </c>
      <c r="F14" t="n">
        <v>10</v>
      </c>
    </row>
    <row r="15">
      <c r="A15" s="13" t="inlineStr">
        <is>
          <t>Claude Sonnet</t>
        </is>
      </c>
      <c r="B15" s="18" t="inlineStr">
        <is>
          <t>4 (36)</t>
        </is>
      </c>
      <c r="C15" s="19" t="inlineStr">
        <is>
          <t>– (38)</t>
        </is>
      </c>
      <c r="D15" s="19" t="inlineStr">
        <is>
          <t>– (34)</t>
        </is>
      </c>
      <c r="E15" s="18" t="inlineStr">
        <is>
          <t>2 (45)</t>
        </is>
      </c>
      <c r="F15" t="n">
        <v>6</v>
      </c>
    </row>
    <row r="16">
      <c r="A16" s="13" t="inlineStr">
        <is>
          <t>Azure (XMS)</t>
        </is>
      </c>
      <c r="B16" s="19" t="inlineStr">
        <is>
          <t>– (22)</t>
        </is>
      </c>
      <c r="C16" s="18" t="inlineStr">
        <is>
          <t>4 (19)</t>
        </is>
      </c>
      <c r="D16" s="19" t="inlineStr">
        <is>
          <t>– (25)</t>
        </is>
      </c>
      <c r="E16" s="19" t="inlineStr">
        <is>
          <t>– (55)</t>
        </is>
      </c>
      <c r="F16" t="n">
        <v>4</v>
      </c>
    </row>
    <row r="17">
      <c r="A17" s="13" t="inlineStr">
        <is>
          <t>Demanda</t>
        </is>
      </c>
      <c r="B17" t="n">
        <v>6</v>
      </c>
      <c r="C17" t="n">
        <v>4</v>
      </c>
      <c r="D17" t="n">
        <v>8</v>
      </c>
      <c r="E17" t="n">
        <v>2</v>
      </c>
    </row>
    <row r="20">
      <c r="A20" s="9" t="inlineStr">
        <is>
          <t>Vogel</t>
        </is>
      </c>
      <c r="G20" s="13" t="inlineStr">
        <is>
          <t>Costo total: 466</t>
        </is>
      </c>
    </row>
    <row r="21">
      <c r="A21" s="2" t="inlineStr"/>
      <c r="B21" s="2" t="inlineStr">
        <is>
          <t>AMIL Cargo</t>
        </is>
      </c>
      <c r="C21" s="2" t="inlineStr">
        <is>
          <t>El Mayorista</t>
        </is>
      </c>
      <c r="D21" s="2" t="inlineStr">
        <is>
          <t>TMEX</t>
        </is>
      </c>
      <c r="E21" s="2" t="inlineStr">
        <is>
          <t>Blu Logistics</t>
        </is>
      </c>
      <c r="F21" s="2" t="inlineStr">
        <is>
          <t>Oferta</t>
        </is>
      </c>
    </row>
    <row r="22">
      <c r="A22" s="13" t="inlineStr">
        <is>
          <t>Claude Haiku</t>
        </is>
      </c>
      <c r="B22" s="18" t="inlineStr">
        <is>
          <t>2 (18)</t>
        </is>
      </c>
      <c r="C22" s="19" t="inlineStr">
        <is>
          <t>– (20)</t>
        </is>
      </c>
      <c r="D22" s="18" t="inlineStr">
        <is>
          <t>8 (15)</t>
        </is>
      </c>
      <c r="E22" s="19" t="inlineStr">
        <is>
          <t>– (60)</t>
        </is>
      </c>
      <c r="F22" t="n">
        <v>10</v>
      </c>
    </row>
    <row r="23">
      <c r="A23" s="13" t="inlineStr">
        <is>
          <t>Claude Sonnet</t>
        </is>
      </c>
      <c r="B23" s="18" t="inlineStr">
        <is>
          <t>4 (36)</t>
        </is>
      </c>
      <c r="C23" s="19" t="inlineStr">
        <is>
          <t>– (38)</t>
        </is>
      </c>
      <c r="D23" s="19" t="inlineStr">
        <is>
          <t>– (34)</t>
        </is>
      </c>
      <c r="E23" s="18" t="inlineStr">
        <is>
          <t>2 (45)</t>
        </is>
      </c>
      <c r="F23" t="n">
        <v>6</v>
      </c>
    </row>
    <row r="24">
      <c r="A24" s="13" t="inlineStr">
        <is>
          <t>Azure (XMS)</t>
        </is>
      </c>
      <c r="B24" s="19" t="inlineStr">
        <is>
          <t>– (22)</t>
        </is>
      </c>
      <c r="C24" s="18" t="inlineStr">
        <is>
          <t>4 (19)</t>
        </is>
      </c>
      <c r="D24" s="19" t="inlineStr">
        <is>
          <t>– (25)</t>
        </is>
      </c>
      <c r="E24" s="19" t="inlineStr">
        <is>
          <t>– (55)</t>
        </is>
      </c>
      <c r="F24" t="n">
        <v>4</v>
      </c>
    </row>
    <row r="25">
      <c r="A25" s="13" t="inlineStr">
        <is>
          <t>Demanda</t>
        </is>
      </c>
      <c r="B25" t="n">
        <v>6</v>
      </c>
      <c r="C25" t="n">
        <v>4</v>
      </c>
      <c r="D25" t="n">
        <v>8</v>
      </c>
      <c r="E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2026-10-05T22:38:24Z</dcterms:created>
  <dcterms:modified xmlns:dcterms="http://purl.org/dc/terms/" xmlns:xsi="http://www.w3.org/2001/XMLSchema-instance" xsi:type="dcterms:W3CDTF">2026-10-05T22:38:24Z</dcterms:modified>
</cp:coreProperties>
</file>